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-Folder\Premier-League-Predictions\"/>
    </mc:Choice>
  </mc:AlternateContent>
  <xr:revisionPtr revIDLastSave="0" documentId="13_ncr:1_{1EB6499A-1643-4216-84F4-12E37C95FA26}" xr6:coauthVersionLast="47" xr6:coauthVersionMax="47" xr10:uidLastSave="{00000000-0000-0000-0000-000000000000}"/>
  <bookViews>
    <workbookView xWindow="-120" yWindow="-120" windowWidth="29040" windowHeight="15720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" l="1"/>
  <c r="R100" i="1"/>
  <c r="L100" i="1"/>
  <c r="V99" i="1"/>
  <c r="V100" i="1" s="1"/>
  <c r="T99" i="1"/>
  <c r="R99" i="1"/>
  <c r="P99" i="1"/>
  <c r="P100" i="1" s="1"/>
  <c r="N99" i="1"/>
  <c r="N100" i="1" s="1"/>
  <c r="L99" i="1"/>
  <c r="J99" i="1"/>
  <c r="J100" i="1" s="1"/>
  <c r="H99" i="1"/>
  <c r="H100" i="1" s="1"/>
  <c r="F99" i="1"/>
  <c r="F100" i="1" s="1"/>
  <c r="D99" i="1"/>
  <c r="D100" i="1" s="1"/>
  <c r="W98" i="1"/>
  <c r="T83" i="1"/>
  <c r="R83" i="1"/>
  <c r="L83" i="1"/>
  <c r="J83" i="1"/>
  <c r="H83" i="1"/>
  <c r="V82" i="1"/>
  <c r="V83" i="1" s="1"/>
  <c r="T82" i="1"/>
  <c r="R82" i="1"/>
  <c r="P82" i="1"/>
  <c r="P83" i="1" s="1"/>
  <c r="N82" i="1"/>
  <c r="N83" i="1" s="1"/>
  <c r="L82" i="1"/>
  <c r="J82" i="1"/>
  <c r="H82" i="1"/>
  <c r="F82" i="1"/>
  <c r="F83" i="1" s="1"/>
  <c r="D82" i="1"/>
  <c r="W81" i="1"/>
  <c r="W68" i="1"/>
  <c r="D66" i="1"/>
  <c r="V65" i="1"/>
  <c r="V66" i="1" s="1"/>
  <c r="T65" i="1"/>
  <c r="T66" i="1" s="1"/>
  <c r="R65" i="1"/>
  <c r="R66" i="1" s="1"/>
  <c r="P65" i="1"/>
  <c r="P66" i="1" s="1"/>
  <c r="N65" i="1"/>
  <c r="N66" i="1" s="1"/>
  <c r="L65" i="1"/>
  <c r="L66" i="1" s="1"/>
  <c r="J65" i="1"/>
  <c r="J66" i="1" s="1"/>
  <c r="H65" i="1"/>
  <c r="H66" i="1" s="1"/>
  <c r="F65" i="1"/>
  <c r="F66" i="1" s="1"/>
  <c r="D65" i="1"/>
  <c r="W64" i="1"/>
  <c r="F49" i="1"/>
  <c r="V48" i="1"/>
  <c r="T48" i="1"/>
  <c r="R48" i="1"/>
  <c r="R49" i="1" s="1"/>
  <c r="P48" i="1"/>
  <c r="N48" i="1"/>
  <c r="L48" i="1"/>
  <c r="J48" i="1"/>
  <c r="D48" i="1"/>
  <c r="F48" i="1"/>
  <c r="H48" i="1"/>
  <c r="V49" i="1"/>
  <c r="T49" i="1"/>
  <c r="P49" i="1"/>
  <c r="N49" i="1"/>
  <c r="L49" i="1"/>
  <c r="J49" i="1"/>
  <c r="H49" i="1"/>
  <c r="D49" i="1"/>
  <c r="W47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W100" i="1" l="1"/>
  <c r="W101" i="1" s="1"/>
  <c r="W102" i="1" s="1"/>
  <c r="W99" i="1"/>
  <c r="W82" i="1"/>
  <c r="D83" i="1"/>
  <c r="W83" i="1" s="1"/>
  <c r="W84" i="1" s="1"/>
  <c r="W85" i="1" s="1"/>
  <c r="W65" i="1"/>
  <c r="W66" i="1"/>
  <c r="W67" i="1" s="1"/>
  <c r="W48" i="1"/>
  <c r="W49" i="1"/>
  <c r="W50" i="1" s="1"/>
  <c r="W32" i="1"/>
  <c r="W33" i="1" s="1"/>
  <c r="W15" i="1"/>
  <c r="W16" i="1" s="1"/>
  <c r="W17" i="1" s="1"/>
  <c r="W34" i="1" l="1"/>
  <c r="W51" i="1"/>
</calcChain>
</file>

<file path=xl/sharedStrings.xml><?xml version="1.0" encoding="utf-8"?>
<sst xmlns="http://schemas.openxmlformats.org/spreadsheetml/2006/main" count="395" uniqueCount="79">
  <si>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</si>
  <si>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</si>
  <si>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</si>
  <si>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</si>
  <si>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</si>
  <si>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</si>
  <si>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</si>
  <si>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</si>
  <si>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</si>
  <si>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</si>
  <si>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</si>
  <si>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</si>
  <si>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</si>
  <si>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</si>
  <si>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</si>
  <si>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</si>
  <si>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</si>
  <si>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</si>
  <si>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</si>
  <si>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</si>
  <si>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</si>
  <si>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</si>
  <si>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</si>
  <si>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</si>
  <si>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</si>
  <si>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</si>
  <si>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</si>
  <si>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</si>
  <si>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</si>
  <si>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</si>
  <si>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</si>
  <si>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</si>
  <si>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</si>
  <si>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</si>
  <si>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</si>
  <si>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</si>
  <si>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</si>
  <si>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</si>
  <si>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</si>
  <si>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</si>
  <si>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</si>
  <si>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</si>
  <si>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</si>
  <si>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</si>
  <si>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</si>
  <si>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</si>
  <si>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</si>
  <si>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</si>
  <si>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</si>
  <si>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</si>
  <si>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</si>
  <si>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</si>
  <si>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</si>
  <si>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</si>
  <si>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</si>
  <si>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</si>
  <si>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</si>
  <si>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</si>
  <si>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</si>
  <si>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</si>
  <si>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</si>
  <si>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</si>
  <si>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</si>
  <si>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</si>
  <si>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</si>
  <si>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</si>
  <si>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</si>
  <si>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</si>
  <si>
    <t>Match Week 11</t>
  </si>
  <si>
    <t>TOT vs MUN</t>
  </si>
  <si>
    <t>EVE vs FUL</t>
  </si>
  <si>
    <t>WHU vs BUR</t>
  </si>
  <si>
    <t>SUN vs ARS</t>
  </si>
  <si>
    <t>CHE vs WOL</t>
  </si>
  <si>
    <t>BRE vs NCU</t>
  </si>
  <si>
    <t>AVL vs BOU</t>
  </si>
  <si>
    <t>CRY vs BHA</t>
  </si>
  <si>
    <t>NOF vs LEE</t>
  </si>
  <si>
    <t>MCI vs LIV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</si>
</sst>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102"/>
  <sheetViews>
    <sheetView tabSelected="1" topLeftCell="A62" zoomScale="80" zoomScaleNormal="80" workbookViewId="0">
      <selection activeCell="M97" sqref="M97"/>
    </sheetView>
  </sheetViews>
  <sheetFormatPr defaultRowHeight="15" x14ac:dyDescent="0.25"/>
  <sheetData>
    <row r="1" spans="1:23" ht="24" x14ac:dyDescent="0.4">
      <c r="A1" t="s">
        <v>0</v>
      </c>
      <c r="D1" s="12" t="s">
        <v>1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3" t="s">
        <v>44</v>
      </c>
      <c r="V17" s="13"/>
      <c r="W17" s="11">
        <f>W16</f>
        <v>-0.74000000000000021</v>
      </c>
    </row>
    <row r="18" spans="1:23" ht="24" x14ac:dyDescent="0.4">
      <c r="D18" s="12" t="s">
        <v>21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3" t="s">
        <v>44</v>
      </c>
      <c r="V34" s="13"/>
      <c r="W34" s="11">
        <f>W33+W17</f>
        <v>-0.58000000000000007</v>
      </c>
    </row>
    <row r="35" spans="1:23" ht="24" x14ac:dyDescent="0.4">
      <c r="D35" s="12" t="s">
        <v>33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45</v>
      </c>
      <c r="E42" s="5"/>
      <c r="F42" s="5" t="s">
        <v>45</v>
      </c>
      <c r="G42" s="5"/>
      <c r="H42" s="5" t="s">
        <v>45</v>
      </c>
      <c r="I42" s="5"/>
      <c r="J42" s="5" t="s">
        <v>45</v>
      </c>
      <c r="K42" s="5"/>
      <c r="L42" s="5" t="s">
        <v>45</v>
      </c>
      <c r="M42" s="5"/>
      <c r="N42" s="5" t="s">
        <v>45</v>
      </c>
      <c r="O42" s="5"/>
      <c r="P42" s="5" t="s">
        <v>45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3.5</v>
      </c>
      <c r="I43" s="5"/>
      <c r="J43" s="5">
        <v>2.5</v>
      </c>
      <c r="K43" s="5"/>
      <c r="L43" s="5">
        <v>3.5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6">
        <v>3.5</v>
      </c>
    </row>
    <row r="44" spans="1:23" x14ac:dyDescent="0.25">
      <c r="B44" s="4" t="s">
        <v>16</v>
      </c>
      <c r="C44" s="5"/>
      <c r="D44" s="5" t="s">
        <v>13</v>
      </c>
      <c r="E44" s="5"/>
      <c r="F44" s="5" t="s">
        <v>13</v>
      </c>
      <c r="G44" s="5"/>
      <c r="H44" s="5" t="s">
        <v>13</v>
      </c>
      <c r="I44" s="5"/>
      <c r="J44" s="5" t="s">
        <v>14</v>
      </c>
      <c r="K44" s="5"/>
      <c r="L44" s="5" t="s">
        <v>13</v>
      </c>
      <c r="M44" s="5"/>
      <c r="N44" s="5" t="s">
        <v>13</v>
      </c>
      <c r="O44" s="5"/>
      <c r="P44" s="5" t="s">
        <v>13</v>
      </c>
      <c r="Q44" s="5"/>
      <c r="R44" s="5" t="s">
        <v>13</v>
      </c>
      <c r="S44" s="5"/>
      <c r="T44" s="5" t="s">
        <v>13</v>
      </c>
      <c r="U44" s="5"/>
      <c r="V44" s="6" t="s">
        <v>13</v>
      </c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-3</v>
      </c>
    </row>
    <row r="48" spans="1:23" x14ac:dyDescent="0.25">
      <c r="B48" s="4" t="s">
        <v>19</v>
      </c>
      <c r="C48" s="5"/>
      <c r="D48" s="5">
        <f>IF(D45&gt;0,ROUND(ABS(D47)*(D45/100),2),ROUND(D47/(D45/100),2))</f>
        <v>0</v>
      </c>
      <c r="E48" s="5"/>
      <c r="F48" s="5">
        <f>IF(F45&gt;0,ROUND(ABS(F47)*(F45/100),2),ROUND(F47/(F45/100),2))</f>
        <v>0</v>
      </c>
      <c r="G48" s="5"/>
      <c r="H48" s="5">
        <f>IF(H45&gt;0,ROUND(ABS(H47)*(H45/100),2),ROUND(H47/(H45/100),2))</f>
        <v>0</v>
      </c>
      <c r="I48" s="5"/>
      <c r="J48" s="5">
        <f>IF(J45&gt;0,ROUND(ABS(J47)*(J45/100),2),ROUND(J47/(J45/100),2))</f>
        <v>0</v>
      </c>
      <c r="K48" s="5"/>
      <c r="L48" s="5">
        <f>IF(L45&gt;0,ROUND(ABS(L47)*(L45/100),2),ROUND(L47/(L45/100),2))</f>
        <v>0</v>
      </c>
      <c r="M48" s="5"/>
      <c r="N48" s="5">
        <f>IF(N45&gt;0,ROUND(ABS(N47)*(N45/100),2),ROUND(N47/(N45/100),2))</f>
        <v>0</v>
      </c>
      <c r="O48" s="5"/>
      <c r="P48" s="5">
        <f>IF(P45&gt;0,ROUND(ABS(P47)*(P45/100),2),ROUND(P47/(P45/100),2))</f>
        <v>0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1.4</v>
      </c>
    </row>
    <row r="49" spans="1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1.35</v>
      </c>
      <c r="S49" s="5"/>
      <c r="T49" s="5">
        <f>IF(T44=T42,-T47+T48,0)</f>
        <v>1.69</v>
      </c>
      <c r="U49" s="5"/>
      <c r="V49" s="6">
        <f>IF(V44=V42,-V47+V48,0)</f>
        <v>1.3599999999999999</v>
      </c>
      <c r="W49" s="9">
        <f>SUM(D49:V49)</f>
        <v>4.4000000000000004</v>
      </c>
    </row>
    <row r="50" spans="1:23" ht="16.5" thickTop="1" thickBot="1" x14ac:dyDescent="0.3">
      <c r="W50" s="7">
        <f>W47+W49</f>
        <v>1.4000000000000004</v>
      </c>
    </row>
    <row r="51" spans="1:23" ht="15.75" thickBot="1" x14ac:dyDescent="0.3">
      <c r="U51" s="13" t="s">
        <v>44</v>
      </c>
      <c r="V51" s="13"/>
      <c r="W51" s="11">
        <f>W34+W50</f>
        <v>0.82000000000000028</v>
      </c>
    </row>
    <row r="52" spans="1:23" ht="24" x14ac:dyDescent="0.4">
      <c r="D52" s="12" t="s">
        <v>46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3" x14ac:dyDescent="0.25">
      <c r="D53" t="s">
        <v>47</v>
      </c>
      <c r="F53" t="s">
        <v>48</v>
      </c>
      <c r="H53" t="s">
        <v>49</v>
      </c>
      <c r="J53" t="s">
        <v>50</v>
      </c>
      <c r="L53" t="s">
        <v>51</v>
      </c>
      <c r="N53" t="s">
        <v>52</v>
      </c>
      <c r="P53" t="s">
        <v>53</v>
      </c>
      <c r="R53" t="s">
        <v>54</v>
      </c>
      <c r="T53" t="s">
        <v>55</v>
      </c>
      <c r="V53" t="s">
        <v>56</v>
      </c>
    </row>
    <row r="54" spans="1:23" x14ac:dyDescent="0.25">
      <c r="A54">
        <v>3.5</v>
      </c>
      <c r="B54" s="1">
        <v>0.8</v>
      </c>
      <c r="D54" t="s">
        <v>14</v>
      </c>
      <c r="F54" t="s">
        <v>13</v>
      </c>
      <c r="H54" t="s">
        <v>13</v>
      </c>
      <c r="J54" t="s">
        <v>13</v>
      </c>
      <c r="L54" t="s">
        <v>13</v>
      </c>
      <c r="N54" t="s">
        <v>13</v>
      </c>
      <c r="P54" t="s">
        <v>13</v>
      </c>
      <c r="R54" t="s">
        <v>13</v>
      </c>
      <c r="T54" t="s">
        <v>13</v>
      </c>
      <c r="V54" t="s">
        <v>13</v>
      </c>
    </row>
    <row r="55" spans="1:23" x14ac:dyDescent="0.25">
      <c r="A55">
        <v>2.5</v>
      </c>
      <c r="B55" s="1">
        <v>0.8</v>
      </c>
      <c r="D55" t="s">
        <v>14</v>
      </c>
      <c r="F55" t="s">
        <v>13</v>
      </c>
      <c r="H55" t="s">
        <v>13</v>
      </c>
      <c r="J55" t="s">
        <v>13</v>
      </c>
      <c r="L55" t="s">
        <v>13</v>
      </c>
      <c r="N55" t="s">
        <v>13</v>
      </c>
      <c r="P55" t="s">
        <v>13</v>
      </c>
      <c r="R55" t="s">
        <v>13</v>
      </c>
      <c r="T55" t="s">
        <v>13</v>
      </c>
      <c r="V55" t="s">
        <v>13</v>
      </c>
    </row>
    <row r="56" spans="1:23" x14ac:dyDescent="0.25">
      <c r="A56">
        <v>3.5</v>
      </c>
      <c r="B56" s="1">
        <v>0.7</v>
      </c>
      <c r="D56" t="s">
        <v>14</v>
      </c>
      <c r="F56" t="s">
        <v>13</v>
      </c>
      <c r="H56" t="s">
        <v>13</v>
      </c>
      <c r="J56" t="s">
        <v>13</v>
      </c>
      <c r="L56" t="s">
        <v>13</v>
      </c>
      <c r="N56" t="s">
        <v>13</v>
      </c>
      <c r="P56" t="s">
        <v>13</v>
      </c>
      <c r="R56" t="s">
        <v>13</v>
      </c>
      <c r="T56" t="s">
        <v>13</v>
      </c>
      <c r="V56" t="s">
        <v>13</v>
      </c>
    </row>
    <row r="57" spans="1:23" x14ac:dyDescent="0.25">
      <c r="A57">
        <v>2.5</v>
      </c>
      <c r="B57" s="1">
        <v>0.7</v>
      </c>
      <c r="D57" t="s">
        <v>14</v>
      </c>
      <c r="F57" t="s">
        <v>13</v>
      </c>
      <c r="H57" t="s">
        <v>13</v>
      </c>
      <c r="J57" t="s">
        <v>13</v>
      </c>
      <c r="L57" t="s">
        <v>13</v>
      </c>
      <c r="N57" t="s">
        <v>13</v>
      </c>
      <c r="P57" t="s">
        <v>13</v>
      </c>
      <c r="R57" t="s">
        <v>13</v>
      </c>
      <c r="T57" t="s">
        <v>13</v>
      </c>
      <c r="V57" t="s">
        <v>13</v>
      </c>
    </row>
    <row r="59" spans="1:23" x14ac:dyDescent="0.25">
      <c r="B59" s="4" t="s">
        <v>12</v>
      </c>
      <c r="C59" s="5"/>
      <c r="D59" s="5" t="s">
        <v>14</v>
      </c>
      <c r="E59" s="5"/>
      <c r="F59" s="5" t="s">
        <v>13</v>
      </c>
      <c r="G59" s="5"/>
      <c r="H59" s="5" t="s">
        <v>13</v>
      </c>
      <c r="I59" s="5"/>
      <c r="J59" s="5" t="s">
        <v>13</v>
      </c>
      <c r="K59" s="5"/>
      <c r="L59" s="5" t="s">
        <v>13</v>
      </c>
      <c r="M59" s="5"/>
      <c r="N59" s="5" t="s">
        <v>13</v>
      </c>
      <c r="O59" s="5"/>
      <c r="P59" s="5" t="s">
        <v>13</v>
      </c>
      <c r="Q59" s="5"/>
      <c r="R59" s="5" t="s">
        <v>13</v>
      </c>
      <c r="S59" s="5"/>
      <c r="T59" s="5" t="s">
        <v>13</v>
      </c>
      <c r="U59" s="5"/>
      <c r="V59" s="6" t="s">
        <v>13</v>
      </c>
    </row>
    <row r="60" spans="1:23" x14ac:dyDescent="0.25">
      <c r="B60" s="4" t="s">
        <v>15</v>
      </c>
      <c r="C60" s="5"/>
      <c r="D60" s="5">
        <v>2.5</v>
      </c>
      <c r="E60" s="5"/>
      <c r="F60" s="5">
        <v>3.5</v>
      </c>
      <c r="G60" s="5"/>
      <c r="H60" s="5">
        <v>3.5</v>
      </c>
      <c r="I60" s="5"/>
      <c r="J60" s="5">
        <v>3.5</v>
      </c>
      <c r="K60" s="5"/>
      <c r="L60" s="5">
        <v>3.5</v>
      </c>
      <c r="M60" s="5"/>
      <c r="N60" s="5">
        <v>3.5</v>
      </c>
      <c r="O60" s="5"/>
      <c r="P60" s="5">
        <v>3.5</v>
      </c>
      <c r="Q60" s="5"/>
      <c r="R60" s="5">
        <v>3.5</v>
      </c>
      <c r="S60" s="5"/>
      <c r="T60" s="5">
        <v>3.5</v>
      </c>
      <c r="U60" s="5"/>
      <c r="V60" s="6">
        <v>3.5</v>
      </c>
    </row>
    <row r="61" spans="1:23" x14ac:dyDescent="0.25">
      <c r="B61" s="4" t="s">
        <v>16</v>
      </c>
      <c r="C61" s="5"/>
      <c r="D61" s="5" t="s">
        <v>14</v>
      </c>
      <c r="E61" s="5"/>
      <c r="F61" s="5" t="s">
        <v>13</v>
      </c>
      <c r="G61" s="5"/>
      <c r="H61" s="5" t="s">
        <v>13</v>
      </c>
      <c r="I61" s="5"/>
      <c r="J61" s="5" t="s">
        <v>14</v>
      </c>
      <c r="K61" s="5"/>
      <c r="L61" s="5" t="s">
        <v>14</v>
      </c>
      <c r="M61" s="5"/>
      <c r="N61" s="5" t="s">
        <v>13</v>
      </c>
      <c r="O61" s="5"/>
      <c r="P61" s="5" t="s">
        <v>13</v>
      </c>
      <c r="Q61" s="5"/>
      <c r="R61" s="5" t="s">
        <v>13</v>
      </c>
      <c r="S61" s="5"/>
      <c r="T61" s="5" t="s">
        <v>14</v>
      </c>
      <c r="U61" s="5"/>
      <c r="V61" s="6" t="s">
        <v>13</v>
      </c>
    </row>
    <row r="62" spans="1:23" x14ac:dyDescent="0.25">
      <c r="B62" s="4" t="s">
        <v>17</v>
      </c>
      <c r="C62" s="5"/>
      <c r="D62" s="5">
        <v>-105</v>
      </c>
      <c r="E62" s="5"/>
      <c r="F62" s="5">
        <v>-225</v>
      </c>
      <c r="G62" s="5"/>
      <c r="H62" s="5">
        <v>-270</v>
      </c>
      <c r="I62" s="5"/>
      <c r="J62" s="5">
        <v>-180</v>
      </c>
      <c r="K62" s="5"/>
      <c r="L62" s="5">
        <v>-170</v>
      </c>
      <c r="M62" s="5"/>
      <c r="N62" s="5">
        <v>-255</v>
      </c>
      <c r="O62" s="5"/>
      <c r="P62" s="5">
        <v>-235</v>
      </c>
      <c r="Q62" s="5"/>
      <c r="R62" s="5">
        <v>-270</v>
      </c>
      <c r="S62" s="5"/>
      <c r="T62" s="5">
        <v>-475</v>
      </c>
      <c r="U62" s="5"/>
      <c r="V62" s="6">
        <v>-310</v>
      </c>
    </row>
    <row r="64" spans="1:23" x14ac:dyDescent="0.25">
      <c r="B64" s="4" t="s">
        <v>18</v>
      </c>
      <c r="C64" s="5"/>
      <c r="D64" s="5">
        <v>-1</v>
      </c>
      <c r="E64" s="5"/>
      <c r="F64" s="5">
        <v>-1</v>
      </c>
      <c r="G64" s="5"/>
      <c r="H64" s="5">
        <v>-1</v>
      </c>
      <c r="I64" s="5"/>
      <c r="J64" s="5">
        <v>-1</v>
      </c>
      <c r="K64" s="5"/>
      <c r="L64" s="5">
        <v>-1</v>
      </c>
      <c r="M64" s="5"/>
      <c r="N64" s="5">
        <v>-1</v>
      </c>
      <c r="O64" s="5"/>
      <c r="P64" s="5">
        <v>-1</v>
      </c>
      <c r="Q64" s="5"/>
      <c r="R64" s="5">
        <v>-1</v>
      </c>
      <c r="S64" s="5"/>
      <c r="T64" s="5">
        <v>-1</v>
      </c>
      <c r="U64" s="5"/>
      <c r="V64" s="6">
        <v>-1</v>
      </c>
      <c r="W64" s="8">
        <f>SUM(D64:V64)</f>
        <v>-10</v>
      </c>
    </row>
    <row r="65" spans="1:23" x14ac:dyDescent="0.25">
      <c r="B65" s="4" t="s">
        <v>19</v>
      </c>
      <c r="C65" s="5"/>
      <c r="D65" s="5">
        <f>IF(D62&gt;0,ROUND(ABS(D64)*(D62/100),2),ROUND(D64/(D62/100),2))</f>
        <v>0.95</v>
      </c>
      <c r="E65" s="5"/>
      <c r="F65" s="5">
        <f>IF(F62&gt;0,ROUND(ABS(F64)*(F62/100),2),ROUND(F64/(F62/100),2))</f>
        <v>0.44</v>
      </c>
      <c r="G65" s="5"/>
      <c r="H65" s="5">
        <f>IF(H62&gt;0,ROUND(ABS(H64)*(H62/100),2),ROUND(H64/(H62/100),2))</f>
        <v>0.37</v>
      </c>
      <c r="I65" s="5"/>
      <c r="J65" s="5">
        <f>IF(J62&gt;0,ROUND(ABS(J64)*(J62/100),2),ROUND(J64/(J62/100),2))</f>
        <v>0.56000000000000005</v>
      </c>
      <c r="K65" s="5"/>
      <c r="L65" s="5">
        <f>IF(L62&gt;0,ROUND(ABS(L64)*(L62/100),2),ROUND(L64/(L62/100),2))</f>
        <v>0.59</v>
      </c>
      <c r="M65" s="5"/>
      <c r="N65" s="5">
        <f>IF(N62&gt;0,ROUND(ABS(N64)*(N62/100),2),ROUND(N64/(N62/100),2))</f>
        <v>0.39</v>
      </c>
      <c r="O65" s="5"/>
      <c r="P65" s="5">
        <f>IF(P62&gt;0,ROUND(ABS(P64)*(P62/100),2),ROUND(P64/(P62/100),2))</f>
        <v>0.43</v>
      </c>
      <c r="Q65" s="5"/>
      <c r="R65" s="5">
        <f>IF(R62&gt;0,ROUND(ABS(R64)*(R62/100),2),ROUND(R64/(R62/100),2))</f>
        <v>0.37</v>
      </c>
      <c r="S65" s="5"/>
      <c r="T65" s="5">
        <f>IF(T62&gt;0,ROUND(ABS(T64)*(T62/100),2),ROUND(T64/(T62/100),2))</f>
        <v>0.21</v>
      </c>
      <c r="U65" s="5"/>
      <c r="V65" s="5">
        <f>IF(V62&gt;0,ROUND(ABS(V64)*(V62/100),2),ROUND(V64/(V62/100),2))</f>
        <v>0.32</v>
      </c>
      <c r="W65" s="8">
        <f>SUM(D65:V65)</f>
        <v>4.63</v>
      </c>
    </row>
    <row r="66" spans="1:23" ht="15.75" thickBot="1" x14ac:dyDescent="0.3">
      <c r="B66" s="4" t="s">
        <v>20</v>
      </c>
      <c r="C66" s="5"/>
      <c r="D66" s="5">
        <f>IF(D61=D59,-D64+D65,0)</f>
        <v>1.95</v>
      </c>
      <c r="E66" s="5"/>
      <c r="F66" s="5">
        <f>IF(F61=F59,-F64+F65,0)</f>
        <v>1.44</v>
      </c>
      <c r="G66" s="5"/>
      <c r="H66" s="5">
        <f>IF(H61=H59,-H64+H65,0)</f>
        <v>1.37</v>
      </c>
      <c r="I66" s="5"/>
      <c r="J66" s="5">
        <f>IF(J61=J59,-J64+J65,0)</f>
        <v>0</v>
      </c>
      <c r="K66" s="5"/>
      <c r="L66" s="5">
        <f>IF(L61=L59,-L64+L65,0)</f>
        <v>0</v>
      </c>
      <c r="M66" s="5"/>
      <c r="N66" s="5">
        <f>IF(N61=N59,-N64+N65,0)</f>
        <v>1.3900000000000001</v>
      </c>
      <c r="O66" s="5"/>
      <c r="P66" s="5">
        <f>IF(P61=P59,-P64+P65,0)</f>
        <v>1.43</v>
      </c>
      <c r="Q66" s="5"/>
      <c r="R66" s="5">
        <f>IF(R61=R59,-R64+R65,0)</f>
        <v>1.37</v>
      </c>
      <c r="S66" s="5"/>
      <c r="T66" s="5">
        <f>IF(T61=T59,-T64+T65,0)</f>
        <v>0</v>
      </c>
      <c r="U66" s="5"/>
      <c r="V66" s="6">
        <f>IF(V61=V59,-V64+V65,0)</f>
        <v>1.32</v>
      </c>
      <c r="W66" s="9">
        <f>SUM(D66:V66)</f>
        <v>10.27</v>
      </c>
    </row>
    <row r="67" spans="1:23" ht="16.5" thickTop="1" thickBot="1" x14ac:dyDescent="0.3">
      <c r="W67" s="7">
        <f>W64+W66</f>
        <v>0.26999999999999957</v>
      </c>
    </row>
    <row r="68" spans="1:23" ht="15.75" thickBot="1" x14ac:dyDescent="0.3">
      <c r="U68" s="13" t="s">
        <v>44</v>
      </c>
      <c r="V68" s="13"/>
      <c r="W68" s="11">
        <f>W51+W67</f>
        <v>1.0899999999999999</v>
      </c>
    </row>
    <row r="69" spans="1:23" ht="24" x14ac:dyDescent="0.4">
      <c r="D69" s="12" t="s">
        <v>57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3" x14ac:dyDescent="0.25">
      <c r="D70" t="s">
        <v>58</v>
      </c>
      <c r="F70" t="s">
        <v>59</v>
      </c>
      <c r="H70" t="s">
        <v>60</v>
      </c>
      <c r="J70" t="s">
        <v>61</v>
      </c>
      <c r="L70" t="s">
        <v>62</v>
      </c>
      <c r="N70" t="s">
        <v>63</v>
      </c>
      <c r="P70" t="s">
        <v>64</v>
      </c>
      <c r="R70" t="s">
        <v>65</v>
      </c>
      <c r="T70" t="s">
        <v>66</v>
      </c>
      <c r="V70" t="s">
        <v>67</v>
      </c>
    </row>
    <row r="71" spans="1:23" x14ac:dyDescent="0.25">
      <c r="A71">
        <v>3.5</v>
      </c>
      <c r="B71" s="1">
        <v>0.8</v>
      </c>
      <c r="D71" t="s">
        <v>13</v>
      </c>
      <c r="F71" t="s">
        <v>13</v>
      </c>
      <c r="H71" t="s">
        <v>14</v>
      </c>
      <c r="J71" t="s">
        <v>13</v>
      </c>
      <c r="L71" t="s">
        <v>13</v>
      </c>
      <c r="N71" t="s">
        <v>13</v>
      </c>
      <c r="P71" t="s">
        <v>13</v>
      </c>
      <c r="R71" t="s">
        <v>13</v>
      </c>
      <c r="T71" t="s">
        <v>13</v>
      </c>
      <c r="V71" t="s">
        <v>13</v>
      </c>
    </row>
    <row r="72" spans="1:23" x14ac:dyDescent="0.25">
      <c r="A72">
        <v>2.5</v>
      </c>
      <c r="B72" s="1">
        <v>0.8</v>
      </c>
      <c r="D72" t="s">
        <v>13</v>
      </c>
      <c r="F72" t="s">
        <v>13</v>
      </c>
      <c r="H72" t="s">
        <v>14</v>
      </c>
      <c r="J72" t="s">
        <v>13</v>
      </c>
      <c r="L72" t="s">
        <v>13</v>
      </c>
      <c r="N72" t="s">
        <v>13</v>
      </c>
      <c r="P72" t="s">
        <v>13</v>
      </c>
      <c r="R72" t="s">
        <v>13</v>
      </c>
      <c r="T72" t="s">
        <v>13</v>
      </c>
      <c r="V72" t="s">
        <v>13</v>
      </c>
    </row>
    <row r="73" spans="1:23" x14ac:dyDescent="0.25">
      <c r="A73">
        <v>3.5</v>
      </c>
      <c r="B73" s="1">
        <v>0.7</v>
      </c>
      <c r="D73" t="s">
        <v>13</v>
      </c>
      <c r="F73" t="s">
        <v>13</v>
      </c>
      <c r="H73" t="s">
        <v>14</v>
      </c>
      <c r="J73" t="s">
        <v>13</v>
      </c>
      <c r="L73" t="s">
        <v>13</v>
      </c>
      <c r="N73" t="s">
        <v>13</v>
      </c>
      <c r="P73" t="s">
        <v>13</v>
      </c>
      <c r="R73" t="s">
        <v>13</v>
      </c>
      <c r="T73" t="s">
        <v>13</v>
      </c>
      <c r="V73" t="s">
        <v>13</v>
      </c>
    </row>
    <row r="74" spans="1:23" x14ac:dyDescent="0.25">
      <c r="A74">
        <v>2.5</v>
      </c>
      <c r="B74" s="1">
        <v>0.7</v>
      </c>
      <c r="D74" t="s">
        <v>13</v>
      </c>
      <c r="F74" t="s">
        <v>13</v>
      </c>
      <c r="H74" t="s">
        <v>14</v>
      </c>
      <c r="J74" t="s">
        <v>13</v>
      </c>
      <c r="L74" t="s">
        <v>13</v>
      </c>
      <c r="N74" t="s">
        <v>13</v>
      </c>
      <c r="P74" t="s">
        <v>13</v>
      </c>
      <c r="R74" t="s">
        <v>13</v>
      </c>
      <c r="T74" t="s">
        <v>13</v>
      </c>
      <c r="V74" t="s">
        <v>13</v>
      </c>
    </row>
    <row r="76" spans="1:23" x14ac:dyDescent="0.25">
      <c r="B76" s="4" t="s">
        <v>12</v>
      </c>
      <c r="C76" s="5"/>
      <c r="D76" s="5" t="s">
        <v>13</v>
      </c>
      <c r="E76" s="5"/>
      <c r="F76" s="5" t="s">
        <v>13</v>
      </c>
      <c r="G76" s="5"/>
      <c r="H76" s="5" t="s">
        <v>14</v>
      </c>
      <c r="I76" s="5"/>
      <c r="J76" s="5" t="s">
        <v>13</v>
      </c>
      <c r="K76" s="5"/>
      <c r="L76" s="5" t="s">
        <v>13</v>
      </c>
      <c r="M76" s="5"/>
      <c r="N76" s="5" t="s">
        <v>13</v>
      </c>
      <c r="O76" s="5"/>
      <c r="P76" s="5" t="s">
        <v>13</v>
      </c>
      <c r="Q76" s="5"/>
      <c r="R76" s="5" t="s">
        <v>13</v>
      </c>
      <c r="S76" s="5"/>
      <c r="T76" s="5" t="s">
        <v>13</v>
      </c>
      <c r="U76" s="5"/>
      <c r="V76" s="6" t="s">
        <v>13</v>
      </c>
    </row>
    <row r="77" spans="1:23" x14ac:dyDescent="0.25">
      <c r="B77" s="4" t="s">
        <v>15</v>
      </c>
      <c r="C77" s="5"/>
      <c r="D77" s="5">
        <v>3.5</v>
      </c>
      <c r="E77" s="5"/>
      <c r="F77" s="5">
        <v>3.5</v>
      </c>
      <c r="G77" s="5"/>
      <c r="H77" s="5">
        <v>2.5</v>
      </c>
      <c r="I77" s="5"/>
      <c r="J77" s="5">
        <v>3.5</v>
      </c>
      <c r="K77" s="5"/>
      <c r="L77" s="5">
        <v>3.5</v>
      </c>
      <c r="M77" s="5"/>
      <c r="N77" s="5">
        <v>3.5</v>
      </c>
      <c r="O77" s="5"/>
      <c r="P77" s="5">
        <v>3.5</v>
      </c>
      <c r="Q77" s="5"/>
      <c r="R77" s="5">
        <v>3.5</v>
      </c>
      <c r="S77" s="5"/>
      <c r="T77" s="5">
        <v>3.5</v>
      </c>
      <c r="U77" s="5"/>
      <c r="V77" s="6">
        <v>3.5</v>
      </c>
    </row>
    <row r="78" spans="1:23" x14ac:dyDescent="0.25">
      <c r="B78" s="4" t="s">
        <v>16</v>
      </c>
      <c r="C78" s="5"/>
      <c r="D78" s="5" t="s">
        <v>13</v>
      </c>
      <c r="E78" s="5"/>
      <c r="F78" s="5" t="s">
        <v>13</v>
      </c>
      <c r="G78" s="5"/>
      <c r="H78" s="5" t="s">
        <v>14</v>
      </c>
      <c r="I78" s="5"/>
      <c r="J78" s="5" t="s">
        <v>13</v>
      </c>
      <c r="K78" s="5"/>
      <c r="L78" s="5" t="s">
        <v>14</v>
      </c>
      <c r="M78" s="5"/>
      <c r="N78" s="5" t="s">
        <v>13</v>
      </c>
      <c r="O78" s="5"/>
      <c r="P78" s="5" t="s">
        <v>13</v>
      </c>
      <c r="Q78" s="5"/>
      <c r="R78" s="5" t="s">
        <v>14</v>
      </c>
      <c r="S78" s="5"/>
      <c r="T78" s="5" t="s">
        <v>14</v>
      </c>
      <c r="U78" s="5"/>
      <c r="V78" s="6" t="s">
        <v>13</v>
      </c>
    </row>
    <row r="79" spans="1:23" x14ac:dyDescent="0.25">
      <c r="B79" s="4" t="s">
        <v>17</v>
      </c>
      <c r="C79" s="5"/>
      <c r="D79" s="5">
        <v>-290</v>
      </c>
      <c r="E79" s="5"/>
      <c r="F79" s="5">
        <v>-275</v>
      </c>
      <c r="G79" s="5"/>
      <c r="H79" s="5">
        <v>-105</v>
      </c>
      <c r="I79" s="5"/>
      <c r="J79" s="5">
        <v>-280</v>
      </c>
      <c r="K79" s="5"/>
      <c r="L79" s="5">
        <v>-235</v>
      </c>
      <c r="M79" s="5"/>
      <c r="N79" s="5">
        <v>-265</v>
      </c>
      <c r="O79" s="5"/>
      <c r="P79" s="5">
        <v>-160</v>
      </c>
      <c r="Q79" s="5"/>
      <c r="R79" s="5">
        <v>-260</v>
      </c>
      <c r="S79" s="5"/>
      <c r="T79" s="5">
        <v>-175</v>
      </c>
      <c r="U79" s="5"/>
      <c r="V79" s="6">
        <v>-475</v>
      </c>
    </row>
    <row r="81" spans="1:23" x14ac:dyDescent="0.25">
      <c r="B81" s="4" t="s">
        <v>18</v>
      </c>
      <c r="C81" s="5"/>
      <c r="D81" s="5">
        <v>-1</v>
      </c>
      <c r="E81" s="5"/>
      <c r="F81" s="5">
        <v>-1</v>
      </c>
      <c r="G81" s="5"/>
      <c r="H81" s="5">
        <v>-1</v>
      </c>
      <c r="I81" s="5"/>
      <c r="J81" s="5">
        <v>-1</v>
      </c>
      <c r="K81" s="5"/>
      <c r="L81" s="5">
        <v>-1</v>
      </c>
      <c r="M81" s="5"/>
      <c r="N81" s="5">
        <v>-1</v>
      </c>
      <c r="O81" s="5"/>
      <c r="P81" s="5">
        <v>-1</v>
      </c>
      <c r="Q81" s="5"/>
      <c r="R81" s="5">
        <v>-1</v>
      </c>
      <c r="S81" s="5"/>
      <c r="T81" s="5">
        <v>-1</v>
      </c>
      <c r="U81" s="5"/>
      <c r="V81" s="6">
        <v>-1</v>
      </c>
      <c r="W81" s="8">
        <f>SUM(D81:V81)</f>
        <v>-10</v>
      </c>
    </row>
    <row r="82" spans="1:23" x14ac:dyDescent="0.25">
      <c r="B82" s="4" t="s">
        <v>19</v>
      </c>
      <c r="C82" s="5"/>
      <c r="D82" s="5">
        <f>IF(D79&gt;0,ROUND(ABS(D81)*(D79/100),2),ROUND(D81/(D79/100),2))</f>
        <v>0.34</v>
      </c>
      <c r="E82" s="5"/>
      <c r="F82" s="5">
        <f>IF(F79&gt;0,ROUND(ABS(F81)*(F79/100),2),ROUND(F81/(F79/100),2))</f>
        <v>0.36</v>
      </c>
      <c r="G82" s="5"/>
      <c r="H82" s="5">
        <f>IF(H79&gt;0,ROUND(ABS(H81)*(H79/100),2),ROUND(H81/(H79/100),2))</f>
        <v>0.95</v>
      </c>
      <c r="I82" s="5"/>
      <c r="J82" s="5">
        <f>IF(J79&gt;0,ROUND(ABS(J81)*(J79/100),2),ROUND(J81/(J79/100),2))</f>
        <v>0.36</v>
      </c>
      <c r="K82" s="5"/>
      <c r="L82" s="5">
        <f>IF(L79&gt;0,ROUND(ABS(L81)*(L79/100),2),ROUND(L81/(L79/100),2))</f>
        <v>0.43</v>
      </c>
      <c r="M82" s="5"/>
      <c r="N82" s="5">
        <f>IF(N79&gt;0,ROUND(ABS(N81)*(N79/100),2),ROUND(N81/(N79/100),2))</f>
        <v>0.38</v>
      </c>
      <c r="O82" s="5"/>
      <c r="P82" s="5">
        <f>IF(P79&gt;0,ROUND(ABS(P81)*(P79/100),2),ROUND(P81/(P79/100),2))</f>
        <v>0.63</v>
      </c>
      <c r="Q82" s="5"/>
      <c r="R82" s="5">
        <f>IF(R79&gt;0,ROUND(ABS(R81)*(R79/100),2),ROUND(R81/(R79/100),2))</f>
        <v>0.38</v>
      </c>
      <c r="S82" s="5"/>
      <c r="T82" s="5">
        <f>IF(T79&gt;0,ROUND(ABS(T81)*(T79/100),2),ROUND(T81/(T79/100),2))</f>
        <v>0.56999999999999995</v>
      </c>
      <c r="U82" s="5"/>
      <c r="V82" s="5">
        <f>IF(V79&gt;0,ROUND(ABS(V81)*(V79/100),2),ROUND(V81/(V79/100),2))</f>
        <v>0.21</v>
      </c>
      <c r="W82" s="8">
        <f>SUM(D82:V82)</f>
        <v>4.6099999999999994</v>
      </c>
    </row>
    <row r="83" spans="1:23" ht="15.75" thickBot="1" x14ac:dyDescent="0.3">
      <c r="B83" s="4" t="s">
        <v>20</v>
      </c>
      <c r="C83" s="5"/>
      <c r="D83" s="5">
        <f>IF(D78=D76,-D81+D82,0)</f>
        <v>1.34</v>
      </c>
      <c r="E83" s="5"/>
      <c r="F83" s="5">
        <f>IF(F78=F76,-F81+F82,0)</f>
        <v>1.3599999999999999</v>
      </c>
      <c r="G83" s="5"/>
      <c r="H83" s="5">
        <f>IF(H78=H76,-H81+H82,0)</f>
        <v>1.95</v>
      </c>
      <c r="I83" s="5"/>
      <c r="J83" s="5">
        <f>IF(J78=J76,-J81+J82,0)</f>
        <v>1.3599999999999999</v>
      </c>
      <c r="K83" s="5"/>
      <c r="L83" s="5">
        <f>IF(L78=L76,-L81+L82,0)</f>
        <v>0</v>
      </c>
      <c r="M83" s="5"/>
      <c r="N83" s="5">
        <f>IF(N78=N76,-N81+N82,0)</f>
        <v>1.38</v>
      </c>
      <c r="O83" s="5"/>
      <c r="P83" s="5">
        <f>IF(P78=P76,-P81+P82,0)</f>
        <v>1.63</v>
      </c>
      <c r="Q83" s="5"/>
      <c r="R83" s="5">
        <f>IF(R78=R76,-R81+R82,0)</f>
        <v>0</v>
      </c>
      <c r="S83" s="5"/>
      <c r="T83" s="5">
        <f>IF(T78=T76,-T81+T82,0)</f>
        <v>0</v>
      </c>
      <c r="U83" s="5"/>
      <c r="V83" s="6">
        <f>IF(V78=V76,-V81+V82,0)</f>
        <v>1.21</v>
      </c>
      <c r="W83" s="9">
        <f>SUM(D83:V83)</f>
        <v>10.23</v>
      </c>
    </row>
    <row r="84" spans="1:23" ht="16.5" thickTop="1" thickBot="1" x14ac:dyDescent="0.3">
      <c r="W84" s="7">
        <f>W81+W83</f>
        <v>0.23000000000000043</v>
      </c>
    </row>
    <row r="85" spans="1:23" ht="15.75" thickBot="1" x14ac:dyDescent="0.3">
      <c r="U85" s="13" t="s">
        <v>44</v>
      </c>
      <c r="V85" s="13"/>
      <c r="W85" s="11">
        <f>W68+W84</f>
        <v>1.3200000000000003</v>
      </c>
    </row>
    <row r="86" spans="1:23" ht="24" x14ac:dyDescent="0.4">
      <c r="D86" s="12" t="s">
        <v>68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 spans="1:23" x14ac:dyDescent="0.25">
      <c r="D87" t="s">
        <v>69</v>
      </c>
      <c r="F87" t="s">
        <v>70</v>
      </c>
      <c r="H87" t="s">
        <v>71</v>
      </c>
      <c r="J87" t="s">
        <v>72</v>
      </c>
      <c r="L87" t="s">
        <v>73</v>
      </c>
      <c r="N87" t="s">
        <v>74</v>
      </c>
      <c r="P87" t="s">
        <v>75</v>
      </c>
      <c r="R87" t="s">
        <v>76</v>
      </c>
      <c r="T87" t="s">
        <v>77</v>
      </c>
      <c r="V87" t="s">
        <v>78</v>
      </c>
    </row>
    <row r="88" spans="1:23" x14ac:dyDescent="0.25">
      <c r="A88">
        <v>3.5</v>
      </c>
      <c r="B88" s="1">
        <v>0.8</v>
      </c>
      <c r="D88" t="s">
        <v>13</v>
      </c>
      <c r="F88" t="s">
        <v>14</v>
      </c>
      <c r="H88" t="s">
        <v>13</v>
      </c>
      <c r="J88" t="s">
        <v>13</v>
      </c>
      <c r="L88" t="s">
        <v>13</v>
      </c>
      <c r="N88" t="s">
        <v>13</v>
      </c>
      <c r="P88" t="s">
        <v>14</v>
      </c>
      <c r="R88" t="s">
        <v>13</v>
      </c>
      <c r="T88" t="s">
        <v>13</v>
      </c>
      <c r="V88" t="s">
        <v>13</v>
      </c>
    </row>
    <row r="89" spans="1:23" x14ac:dyDescent="0.25">
      <c r="A89">
        <v>2.5</v>
      </c>
      <c r="B89" s="1">
        <v>0.8</v>
      </c>
      <c r="D89" t="s">
        <v>13</v>
      </c>
      <c r="F89" t="s">
        <v>14</v>
      </c>
      <c r="H89" t="s">
        <v>13</v>
      </c>
      <c r="J89" t="s">
        <v>13</v>
      </c>
      <c r="L89" t="s">
        <v>13</v>
      </c>
      <c r="N89" t="s">
        <v>13</v>
      </c>
      <c r="P89" t="s">
        <v>14</v>
      </c>
      <c r="R89" t="s">
        <v>13</v>
      </c>
      <c r="T89" t="s">
        <v>13</v>
      </c>
      <c r="V89" t="s">
        <v>13</v>
      </c>
    </row>
    <row r="90" spans="1:23" x14ac:dyDescent="0.25">
      <c r="A90">
        <v>3.5</v>
      </c>
      <c r="B90" s="1">
        <v>0.7</v>
      </c>
      <c r="D90" t="s">
        <v>13</v>
      </c>
      <c r="F90" t="s">
        <v>14</v>
      </c>
      <c r="H90" t="s">
        <v>13</v>
      </c>
      <c r="J90" t="s">
        <v>13</v>
      </c>
      <c r="L90" t="s">
        <v>13</v>
      </c>
      <c r="N90" t="s">
        <v>13</v>
      </c>
      <c r="P90" t="s">
        <v>14</v>
      </c>
      <c r="R90" t="s">
        <v>13</v>
      </c>
      <c r="T90" t="s">
        <v>13</v>
      </c>
      <c r="V90" t="s">
        <v>13</v>
      </c>
    </row>
    <row r="91" spans="1:23" x14ac:dyDescent="0.25">
      <c r="A91">
        <v>2.5</v>
      </c>
      <c r="B91" s="1">
        <v>0.7</v>
      </c>
      <c r="D91" t="s">
        <v>13</v>
      </c>
      <c r="F91" t="s">
        <v>14</v>
      </c>
      <c r="H91" t="s">
        <v>13</v>
      </c>
      <c r="J91" t="s">
        <v>13</v>
      </c>
      <c r="L91" t="s">
        <v>13</v>
      </c>
      <c r="N91" t="s">
        <v>13</v>
      </c>
      <c r="P91" t="s">
        <v>14</v>
      </c>
      <c r="R91" t="s">
        <v>13</v>
      </c>
      <c r="T91" t="s">
        <v>13</v>
      </c>
      <c r="V91" t="s">
        <v>13</v>
      </c>
    </row>
    <row r="93" spans="1:23" x14ac:dyDescent="0.25">
      <c r="B93" s="4" t="s">
        <v>12</v>
      </c>
      <c r="C93" s="5"/>
      <c r="D93" s="5" t="s">
        <v>13</v>
      </c>
      <c r="E93" s="5"/>
      <c r="F93" s="5" t="s">
        <v>14</v>
      </c>
      <c r="G93" s="5"/>
      <c r="H93" s="5" t="s">
        <v>13</v>
      </c>
      <c r="I93" s="5"/>
      <c r="J93" s="5" t="s">
        <v>13</v>
      </c>
      <c r="K93" s="5"/>
      <c r="L93" s="5" t="s">
        <v>13</v>
      </c>
      <c r="M93" s="5"/>
      <c r="N93" s="5" t="s">
        <v>13</v>
      </c>
      <c r="O93" s="5"/>
      <c r="P93" s="5" t="s">
        <v>14</v>
      </c>
      <c r="Q93" s="5"/>
      <c r="R93" s="5" t="s">
        <v>13</v>
      </c>
      <c r="S93" s="5"/>
      <c r="T93" s="5" t="s">
        <v>13</v>
      </c>
      <c r="U93" s="5"/>
      <c r="V93" s="6" t="s">
        <v>13</v>
      </c>
    </row>
    <row r="94" spans="1:23" x14ac:dyDescent="0.25">
      <c r="B94" s="4" t="s">
        <v>15</v>
      </c>
      <c r="C94" s="5"/>
      <c r="D94" s="5">
        <v>3.5</v>
      </c>
      <c r="E94" s="5"/>
      <c r="F94" s="5">
        <v>2.5</v>
      </c>
      <c r="G94" s="5"/>
      <c r="H94" s="5">
        <v>3.5</v>
      </c>
      <c r="I94" s="5"/>
      <c r="J94" s="5">
        <v>3.5</v>
      </c>
      <c r="K94" s="5"/>
      <c r="L94" s="5">
        <v>3.5</v>
      </c>
      <c r="M94" s="5"/>
      <c r="N94" s="5">
        <v>3.5</v>
      </c>
      <c r="O94" s="5"/>
      <c r="P94" s="5">
        <v>3.5</v>
      </c>
      <c r="Q94" s="5"/>
      <c r="R94" s="5">
        <v>3.5</v>
      </c>
      <c r="S94" s="5"/>
      <c r="T94" s="5">
        <v>3.5</v>
      </c>
      <c r="U94" s="5"/>
      <c r="V94" s="6">
        <v>3.5</v>
      </c>
    </row>
    <row r="95" spans="1:23" x14ac:dyDescent="0.25">
      <c r="B95" s="4" t="s">
        <v>16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6"/>
    </row>
    <row r="96" spans="1:23" x14ac:dyDescent="0.25">
      <c r="B96" s="4" t="s">
        <v>17</v>
      </c>
      <c r="C96" s="5"/>
      <c r="D96" s="5">
        <v>-190</v>
      </c>
      <c r="E96" s="5"/>
      <c r="F96" s="5">
        <v>115</v>
      </c>
      <c r="G96" s="5"/>
      <c r="H96" s="5">
        <v>-350</v>
      </c>
      <c r="I96" s="5"/>
      <c r="J96" s="5">
        <v>-380</v>
      </c>
      <c r="K96" s="5"/>
      <c r="L96" s="5">
        <v>-210</v>
      </c>
      <c r="M96" s="5"/>
      <c r="N96" s="5">
        <v>-230</v>
      </c>
      <c r="O96" s="5"/>
      <c r="P96" s="5">
        <v>-120</v>
      </c>
      <c r="Q96" s="5"/>
      <c r="R96" s="5">
        <v>-270</v>
      </c>
      <c r="S96" s="5"/>
      <c r="T96" s="5">
        <v>-350</v>
      </c>
      <c r="U96" s="5"/>
      <c r="V96" s="6">
        <v>-145</v>
      </c>
    </row>
    <row r="98" spans="2:23" x14ac:dyDescent="0.25">
      <c r="B98" s="4" t="s">
        <v>18</v>
      </c>
      <c r="C98" s="5"/>
      <c r="D98" s="5">
        <v>-1</v>
      </c>
      <c r="E98" s="5"/>
      <c r="F98" s="5">
        <v>-1</v>
      </c>
      <c r="G98" s="5"/>
      <c r="H98" s="5">
        <v>-1</v>
      </c>
      <c r="I98" s="5"/>
      <c r="J98" s="5">
        <v>-1</v>
      </c>
      <c r="K98" s="5"/>
      <c r="L98" s="5">
        <v>-1</v>
      </c>
      <c r="M98" s="5"/>
      <c r="N98" s="5">
        <v>-1</v>
      </c>
      <c r="O98" s="5"/>
      <c r="P98" s="5">
        <v>-1</v>
      </c>
      <c r="Q98" s="5"/>
      <c r="R98" s="5">
        <v>-1</v>
      </c>
      <c r="S98" s="5"/>
      <c r="T98" s="5">
        <v>-1</v>
      </c>
      <c r="U98" s="5"/>
      <c r="V98" s="6">
        <v>-1</v>
      </c>
      <c r="W98" s="8">
        <f>SUM(D98:V98)</f>
        <v>-10</v>
      </c>
    </row>
    <row r="99" spans="2:23" x14ac:dyDescent="0.25">
      <c r="B99" s="4" t="s">
        <v>19</v>
      </c>
      <c r="C99" s="5"/>
      <c r="D99" s="5">
        <f>IF(D96&gt;0,ROUND(ABS(D98)*(D96/100),2),ROUND(D98/(D96/100),2))</f>
        <v>0.53</v>
      </c>
      <c r="E99" s="5"/>
      <c r="F99" s="5">
        <f>IF(F96&gt;0,ROUND(ABS(F98)*(F96/100),2),ROUND(F98/(F96/100),2))</f>
        <v>1.1499999999999999</v>
      </c>
      <c r="G99" s="5"/>
      <c r="H99" s="5">
        <f>IF(H96&gt;0,ROUND(ABS(H98)*(H96/100),2),ROUND(H98/(H96/100),2))</f>
        <v>0.28999999999999998</v>
      </c>
      <c r="I99" s="5"/>
      <c r="J99" s="5">
        <f>IF(J96&gt;0,ROUND(ABS(J98)*(J96/100),2),ROUND(J98/(J96/100),2))</f>
        <v>0.26</v>
      </c>
      <c r="K99" s="5"/>
      <c r="L99" s="5">
        <f>IF(L96&gt;0,ROUND(ABS(L98)*(L96/100),2),ROUND(L98/(L96/100),2))</f>
        <v>0.48</v>
      </c>
      <c r="M99" s="5"/>
      <c r="N99" s="5">
        <f>IF(N96&gt;0,ROUND(ABS(N98)*(N96/100),2),ROUND(N98/(N96/100),2))</f>
        <v>0.43</v>
      </c>
      <c r="O99" s="5"/>
      <c r="P99" s="5">
        <f>IF(P96&gt;0,ROUND(ABS(P98)*(P96/100),2),ROUND(P98/(P96/100),2))</f>
        <v>0.83</v>
      </c>
      <c r="Q99" s="5"/>
      <c r="R99" s="5">
        <f>IF(R96&gt;0,ROUND(ABS(R98)*(R96/100),2),ROUND(R98/(R96/100),2))</f>
        <v>0.37</v>
      </c>
      <c r="S99" s="5"/>
      <c r="T99" s="5">
        <f>IF(T96&gt;0,ROUND(ABS(T98)*(T96/100),2),ROUND(T98/(T96/100),2))</f>
        <v>0.28999999999999998</v>
      </c>
      <c r="U99" s="5"/>
      <c r="V99" s="5">
        <f>IF(V96&gt;0,ROUND(ABS(V98)*(V96/100),2),ROUND(V98/(V96/100),2))</f>
        <v>0.69</v>
      </c>
      <c r="W99" s="8">
        <f>SUM(D99:V99)</f>
        <v>5.32</v>
      </c>
    </row>
    <row r="100" spans="2:23" ht="15.75" thickBot="1" x14ac:dyDescent="0.3">
      <c r="B100" s="4" t="s">
        <v>20</v>
      </c>
      <c r="C100" s="5"/>
      <c r="D100" s="5">
        <f>IF(D95=D93,-D98+D99,0)</f>
        <v>0</v>
      </c>
      <c r="E100" s="5"/>
      <c r="F100" s="5">
        <f>IF(F95=F93,-F98+F99,0)</f>
        <v>0</v>
      </c>
      <c r="G100" s="5"/>
      <c r="H100" s="5">
        <f>IF(H95=H93,-H98+H99,0)</f>
        <v>0</v>
      </c>
      <c r="I100" s="5"/>
      <c r="J100" s="5">
        <f>IF(J95=J93,-J98+J99,0)</f>
        <v>0</v>
      </c>
      <c r="K100" s="5"/>
      <c r="L100" s="5">
        <f>IF(L95=L93,-L98+L99,0)</f>
        <v>0</v>
      </c>
      <c r="M100" s="5"/>
      <c r="N100" s="5">
        <f>IF(N95=N93,-N98+N99,0)</f>
        <v>0</v>
      </c>
      <c r="O100" s="5"/>
      <c r="P100" s="5">
        <f>IF(P95=P93,-P98+P99,0)</f>
        <v>0</v>
      </c>
      <c r="Q100" s="5"/>
      <c r="R100" s="5">
        <f>IF(R95=R93,-R98+R99,0)</f>
        <v>0</v>
      </c>
      <c r="S100" s="5"/>
      <c r="T100" s="5">
        <f>IF(T95=T93,-T98+T99,0)</f>
        <v>0</v>
      </c>
      <c r="U100" s="5"/>
      <c r="V100" s="6">
        <f>IF(V95=V93,-V98+V99,0)</f>
        <v>0</v>
      </c>
      <c r="W100" s="9">
        <f>SUM(D100:V100)</f>
        <v>0</v>
      </c>
    </row>
    <row r="101" spans="2:23" ht="16.5" thickTop="1" thickBot="1" x14ac:dyDescent="0.3">
      <c r="W101" s="7">
        <f>W98+W100</f>
        <v>-10</v>
      </c>
    </row>
    <row r="102" spans="2:23" ht="15.75" thickBot="1" x14ac:dyDescent="0.3">
      <c r="U102" s="13" t="s">
        <v>44</v>
      </c>
      <c r="V102" s="13"/>
      <c r="W102" s="11">
        <f>W85+W101</f>
        <v>-8.68</v>
      </c>
    </row>
  </sheetData>
  <mergeCells count="12">
    <mergeCell ref="U51:V51"/>
    <mergeCell ref="D1:V1"/>
    <mergeCell ref="D18:V18"/>
    <mergeCell ref="D35:V35"/>
    <mergeCell ref="U17:V17"/>
    <mergeCell ref="U34:V34"/>
    <mergeCell ref="D86:V86"/>
    <mergeCell ref="U102:V102"/>
    <mergeCell ref="D69:V69"/>
    <mergeCell ref="U85:V85"/>
    <mergeCell ref="D52:V52"/>
    <mergeCell ref="U68:V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2025-11-08T05:03:37Z</dcterms:modified>
</cp:coreProperties>
</file>