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mattc\git-folder\Premier-League-Predictions\"/>
    </mc:Choice>
  </mc:AlternateContent>
  <xr:revisionPtr revIDLastSave="0" documentId="8_{C19D062F-42CC-4F98-8CCF-C1C4DB6DEA38}" xr6:coauthVersionLast="47" xr6:coauthVersionMax="47" xr10:uidLastSave="{00000000-0000-0000-0000-000000000000}"/>
  <bookViews>
    <workbookView xWindow="-120" yWindow="-120" windowWidth="29040" windowHeight="15720" xr2:uid="{B97D2B54-78E2-448B-A9CF-77B7E3BC2EA1}"/>
  </bookViews>
  <sheets>
    <sheet name="Predictions 2(Records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6" i="1" l="1"/>
  <c r="W157" i="1" s="1"/>
  <c r="U156" i="1"/>
  <c r="U157" i="1" s="1"/>
  <c r="S156" i="1"/>
  <c r="S157" i="1" s="1"/>
  <c r="Q156" i="1"/>
  <c r="Q157" i="1" s="1"/>
  <c r="O156" i="1"/>
  <c r="O157" i="1" s="1"/>
  <c r="M156" i="1"/>
  <c r="M157" i="1" s="1"/>
  <c r="K156" i="1"/>
  <c r="K157" i="1" s="1"/>
  <c r="I156" i="1"/>
  <c r="I157" i="1" s="1"/>
  <c r="G156" i="1"/>
  <c r="G157" i="1" s="1"/>
  <c r="E156" i="1"/>
  <c r="X155" i="1"/>
  <c r="U138" i="1"/>
  <c r="W137" i="1"/>
  <c r="W138" i="1" s="1"/>
  <c r="U137" i="1"/>
  <c r="S137" i="1"/>
  <c r="S138" i="1" s="1"/>
  <c r="Q138" i="1"/>
  <c r="O138" i="1"/>
  <c r="M137" i="1"/>
  <c r="M138" i="1" s="1"/>
  <c r="K137" i="1"/>
  <c r="K138" i="1" s="1"/>
  <c r="I137" i="1"/>
  <c r="I138" i="1" s="1"/>
  <c r="G137" i="1"/>
  <c r="G138" i="1" s="1"/>
  <c r="X136" i="1"/>
  <c r="W118" i="1"/>
  <c r="W119" i="1" s="1"/>
  <c r="U118" i="1"/>
  <c r="U119" i="1" s="1"/>
  <c r="S118" i="1"/>
  <c r="S119" i="1" s="1"/>
  <c r="Q118" i="1"/>
  <c r="Q119" i="1" s="1"/>
  <c r="O118" i="1"/>
  <c r="O119" i="1" s="1"/>
  <c r="M118" i="1"/>
  <c r="M119" i="1" s="1"/>
  <c r="K118" i="1"/>
  <c r="K119" i="1" s="1"/>
  <c r="I118" i="1"/>
  <c r="I119" i="1" s="1"/>
  <c r="G118" i="1"/>
  <c r="G119" i="1" s="1"/>
  <c r="E118" i="1"/>
  <c r="X117" i="1"/>
  <c r="U100" i="1"/>
  <c r="S100" i="1"/>
  <c r="W99" i="1"/>
  <c r="W100" i="1" s="1"/>
  <c r="U99" i="1"/>
  <c r="S99" i="1"/>
  <c r="Q99" i="1"/>
  <c r="Q100" i="1" s="1"/>
  <c r="O99" i="1"/>
  <c r="O100" i="1" s="1"/>
  <c r="M99" i="1"/>
  <c r="M100" i="1" s="1"/>
  <c r="K99" i="1"/>
  <c r="K100" i="1" s="1"/>
  <c r="I99" i="1"/>
  <c r="I100" i="1" s="1"/>
  <c r="G99" i="1"/>
  <c r="G100" i="1" s="1"/>
  <c r="E99" i="1"/>
  <c r="E100" i="1" s="1"/>
  <c r="X98" i="1"/>
  <c r="U83" i="1"/>
  <c r="S83" i="1"/>
  <c r="M83" i="1"/>
  <c r="K83" i="1"/>
  <c r="I83" i="1"/>
  <c r="W82" i="1"/>
  <c r="W83" i="1" s="1"/>
  <c r="U82" i="1"/>
  <c r="S82" i="1"/>
  <c r="Q82" i="1"/>
  <c r="Q83" i="1" s="1"/>
  <c r="O82" i="1"/>
  <c r="O83" i="1" s="1"/>
  <c r="M82" i="1"/>
  <c r="K82" i="1"/>
  <c r="I82" i="1"/>
  <c r="G82" i="1"/>
  <c r="G83" i="1" s="1"/>
  <c r="E82" i="1"/>
  <c r="X81" i="1"/>
  <c r="W65" i="1"/>
  <c r="W66" i="1" s="1"/>
  <c r="U65" i="1"/>
  <c r="U66" i="1" s="1"/>
  <c r="S65" i="1"/>
  <c r="S66" i="1" s="1"/>
  <c r="Q65" i="1"/>
  <c r="Q66" i="1" s="1"/>
  <c r="O65" i="1"/>
  <c r="O66" i="1" s="1"/>
  <c r="M65" i="1"/>
  <c r="M66" i="1" s="1"/>
  <c r="K65" i="1"/>
  <c r="K66" i="1" s="1"/>
  <c r="I65" i="1"/>
  <c r="I66" i="1" s="1"/>
  <c r="G65" i="1"/>
  <c r="G66" i="1" s="1"/>
  <c r="E65" i="1"/>
  <c r="E66" i="1" s="1"/>
  <c r="X64" i="1"/>
  <c r="G49" i="1"/>
  <c r="W48" i="1"/>
  <c r="U48" i="1"/>
  <c r="S48" i="1"/>
  <c r="S49" i="1" s="1"/>
  <c r="Q48" i="1"/>
  <c r="O48" i="1"/>
  <c r="M48" i="1"/>
  <c r="K48" i="1"/>
  <c r="E48" i="1"/>
  <c r="G48" i="1"/>
  <c r="I48" i="1"/>
  <c r="W49" i="1"/>
  <c r="U49" i="1"/>
  <c r="Q49" i="1"/>
  <c r="O49" i="1"/>
  <c r="M49" i="1"/>
  <c r="K49" i="1"/>
  <c r="I49" i="1"/>
  <c r="E49" i="1"/>
  <c r="X47" i="1"/>
  <c r="E32" i="1"/>
  <c r="G32" i="1"/>
  <c r="I32" i="1"/>
  <c r="K32" i="1"/>
  <c r="M32" i="1"/>
  <c r="O32" i="1"/>
  <c r="Q32" i="1"/>
  <c r="S32" i="1"/>
  <c r="U32" i="1"/>
  <c r="W32" i="1"/>
  <c r="W15" i="1"/>
  <c r="U15" i="1"/>
  <c r="S15" i="1"/>
  <c r="Q15" i="1"/>
  <c r="O15" i="1"/>
  <c r="M15" i="1"/>
  <c r="K15" i="1"/>
  <c r="I15" i="1"/>
  <c r="G15" i="1"/>
  <c r="E15" i="1"/>
  <c r="X14" i="1"/>
  <c r="X13" i="1"/>
  <c r="X31" i="1"/>
  <c r="X30" i="1"/>
  <c r="E157" i="1" l="1"/>
  <c r="X157" i="1" s="1"/>
  <c r="X158" i="1" s="1"/>
  <c r="X156" i="1"/>
  <c r="E138" i="1"/>
  <c r="X138" i="1" s="1"/>
  <c r="X139" i="1" s="1"/>
  <c r="X137" i="1"/>
  <c r="X118" i="1"/>
  <c r="E119" i="1"/>
  <c r="X119" i="1" s="1"/>
  <c r="X120" i="1" s="1"/>
  <c r="X100" i="1"/>
  <c r="X101" i="1" s="1"/>
  <c r="X99" i="1"/>
  <c r="X82" i="1"/>
  <c r="E83" i="1"/>
  <c r="X83" i="1" s="1"/>
  <c r="X84" i="1" s="1"/>
  <c r="X65" i="1"/>
  <c r="X66" i="1"/>
  <c r="X67" i="1" s="1"/>
  <c r="X48" i="1"/>
  <c r="X49" i="1"/>
  <c r="X50" i="1" s="1"/>
  <c r="X32" i="1"/>
  <c r="X33" i="1" s="1"/>
  <c r="X15" i="1"/>
  <c r="X16" i="1" s="1"/>
  <c r="X17" i="1" s="1"/>
  <c r="X34" i="1" l="1"/>
  <c r="X51" i="1"/>
  <c r="X68" i="1" s="1"/>
  <c r="X85" i="1" s="1"/>
  <c r="X102" i="1" s="1"/>
  <c r="X121" i="1" s="1"/>
  <c r="X140" i="1" s="1"/>
  <c r="X159" i="1" s="1"/>
</calcChain>
</file>

<file path=xl/sharedStrings.xml><?xml version="1.0" encoding="utf-8"?>
<sst xmlns="http://schemas.openxmlformats.org/spreadsheetml/2006/main" count="694" uniqueCount="117">
  <si>
    <t>Goals</t>
  </si>
  <si>
    <t>Match Week 6</t>
  </si>
  <si>
    <t>BRE vs MUN</t>
  </si>
  <si>
    <t>CHE vs BHA</t>
  </si>
  <si>
    <t>CRY vs LIV</t>
  </si>
  <si>
    <t>LEE vs SUN</t>
  </si>
  <si>
    <t>MCI vs BUR</t>
  </si>
  <si>
    <t>NOF vs SUN</t>
  </si>
  <si>
    <t>TOT vs WOL</t>
  </si>
  <si>
    <t>AVL vs FUL</t>
  </si>
  <si>
    <t>NCU vs ARS</t>
  </si>
  <si>
    <t>EVE vs WHU</t>
  </si>
  <si>
    <t>Prediction:</t>
  </si>
  <si>
    <t>Under</t>
  </si>
  <si>
    <t>Over</t>
  </si>
  <si>
    <t>Goal Total:</t>
  </si>
  <si>
    <t>Actual Result:</t>
  </si>
  <si>
    <t>Odds:</t>
  </si>
  <si>
    <t>Bet:</t>
  </si>
  <si>
    <t>Estimated Return:</t>
  </si>
  <si>
    <t>Total Payout:</t>
  </si>
  <si>
    <t>Current Profit/Loss:</t>
  </si>
  <si>
    <t>Match Week 7</t>
  </si>
  <si>
    <t>BOU vs FUL</t>
  </si>
  <si>
    <t>LEE vs TOT</t>
  </si>
  <si>
    <t>ARS vs WHU</t>
  </si>
  <si>
    <t>MUN vs SUN</t>
  </si>
  <si>
    <t>CHE vs LIV</t>
  </si>
  <si>
    <t>EVE vs CRY</t>
  </si>
  <si>
    <t>AVL vs BUR</t>
  </si>
  <si>
    <t>NCU vs NOF</t>
  </si>
  <si>
    <t>WOL vs BHA</t>
  </si>
  <si>
    <t>BRE vs MCI</t>
  </si>
  <si>
    <t>Did Not Place</t>
  </si>
  <si>
    <t>Match Week 8</t>
  </si>
  <si>
    <t>NOF vs CHE</t>
  </si>
  <si>
    <t>MCI vs EVE</t>
  </si>
  <si>
    <t>BUR vs LEE</t>
  </si>
  <si>
    <t>CRY vs BOU</t>
  </si>
  <si>
    <t>BHA vs NCU</t>
  </si>
  <si>
    <t>SUN vs WOL</t>
  </si>
  <si>
    <t>FUL vs ARS</t>
  </si>
  <si>
    <t>TOT vs AVL</t>
  </si>
  <si>
    <t>LIV vs MUN</t>
  </si>
  <si>
    <t>WHU vs BRE</t>
  </si>
  <si>
    <t>Forgot to Place</t>
  </si>
  <si>
    <t>Match Week 9</t>
  </si>
  <si>
    <t>LEE vs WHU</t>
  </si>
  <si>
    <t>CHE vs SUN</t>
  </si>
  <si>
    <t>NCU vs FUL</t>
  </si>
  <si>
    <t>MUN vs BHA</t>
  </si>
  <si>
    <t>BRE vs LIV</t>
  </si>
  <si>
    <t>BOU vs NOF</t>
  </si>
  <si>
    <t>ARS vs CRY</t>
  </si>
  <si>
    <t>AVL vs MCI</t>
  </si>
  <si>
    <t>WOL vs BUR</t>
  </si>
  <si>
    <t>EVE vs TOT</t>
  </si>
  <si>
    <t>Match Week 10</t>
  </si>
  <si>
    <t>BHA vs LEE</t>
  </si>
  <si>
    <t>CRY vs BRE</t>
  </si>
  <si>
    <t>FUL vs WOL</t>
  </si>
  <si>
    <t>BUR vs ARS</t>
  </si>
  <si>
    <t>NOF vs MUN</t>
  </si>
  <si>
    <t>TOT vs CHE</t>
  </si>
  <si>
    <t>LIV vs AVL</t>
  </si>
  <si>
    <t>WHU vs NCU</t>
  </si>
  <si>
    <t>MCI vs BOU</t>
  </si>
  <si>
    <t>SUN vs EVE</t>
  </si>
  <si>
    <t>Match Week 11</t>
  </si>
  <si>
    <t>TOT vs MUN</t>
  </si>
  <si>
    <t>EVE vs FUL</t>
  </si>
  <si>
    <t>WHU vs BUR</t>
  </si>
  <si>
    <t>SUN vs ARS</t>
  </si>
  <si>
    <t>CHE vs WOL</t>
  </si>
  <si>
    <t>BRE vs NCU</t>
  </si>
  <si>
    <t>AVL vs BOU</t>
  </si>
  <si>
    <t>CRY vs BHA</t>
  </si>
  <si>
    <t>NOF vs LEE</t>
  </si>
  <si>
    <t>MCI vs LIV</t>
  </si>
  <si>
    <t>Match Week 12</t>
  </si>
  <si>
    <t>Model:</t>
  </si>
  <si>
    <t>BUR vs CHE</t>
  </si>
  <si>
    <t>WOL vs CRY</t>
  </si>
  <si>
    <t>BHA vs BRE</t>
  </si>
  <si>
    <t>FUL vs SUN</t>
  </si>
  <si>
    <t>LIV vs NOF</t>
  </si>
  <si>
    <t>BOU vs WHU</t>
  </si>
  <si>
    <t>NCU vs MCI</t>
  </si>
  <si>
    <t>LEE vs AVL</t>
  </si>
  <si>
    <t>ARS vs TOT</t>
  </si>
  <si>
    <t>MUN vs EVE</t>
  </si>
  <si>
    <t>KNN</t>
  </si>
  <si>
    <t>Did not bet this week</t>
  </si>
  <si>
    <t>XGB</t>
  </si>
  <si>
    <t>Match Week 13</t>
  </si>
  <si>
    <t>BRE vs BUR</t>
  </si>
  <si>
    <t>MCI vs LEE</t>
  </si>
  <si>
    <t>SUN vs BOU</t>
  </si>
  <si>
    <t>EVE vs NCU</t>
  </si>
  <si>
    <t>TOT vs FUL</t>
  </si>
  <si>
    <t>CRY vs MUN</t>
  </si>
  <si>
    <t>NOF vs BHA</t>
  </si>
  <si>
    <t>AVL vs WOL</t>
  </si>
  <si>
    <t>WHU vs LIV</t>
  </si>
  <si>
    <t>CHE vs ARS</t>
  </si>
  <si>
    <t>Did Not Calculate</t>
  </si>
  <si>
    <t>Match Week 14 - Started using XGBoost for bets</t>
  </si>
  <si>
    <t>FUL vs MCI</t>
  </si>
  <si>
    <t>BOU vs EVE</t>
  </si>
  <si>
    <t>NCU vs TOT</t>
  </si>
  <si>
    <t>ARS vs BRE</t>
  </si>
  <si>
    <t>BHA vs AVL</t>
  </si>
  <si>
    <t>WOL vs NOF</t>
  </si>
  <si>
    <t>BUR vs CRY</t>
  </si>
  <si>
    <t>LIV vs SUN</t>
  </si>
  <si>
    <t>LEE vs CHE</t>
  </si>
  <si>
    <t>MUN vs WHU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</si>
</sst>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9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0" xfId="0" applyBorder="1"/>
    <xf numFmtId="0" fontId="0" fillId="0" borderId="17" xfId="0" applyBorder="1"/>
    <xf numFmtId="0" fontId="0" fillId="0" borderId="19" xfId="0" applyBorder="1"/>
    <xf numFmtId="0" fontId="0" fillId="0" borderId="18" xfId="0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41253-1EAB-4104-BE4B-374BC158237A}">
  <dimension ref="A1:Z159"/>
  <sheetViews>
    <sheetView tabSelected="1" topLeftCell="A129" zoomScale="80" zoomScaleNormal="80" workbookViewId="0">
      <selection activeCell="E152" sqref="E152"/>
    </sheetView>
  </sheetViews>
  <sheetFormatPr defaultRowHeight="15"/>
  <cols>
    <col min="5" max="5" width="10.7109375" bestFit="1" customWidth="1"/>
  </cols>
  <sheetData>
    <row r="1" spans="2:24" ht="24">
      <c r="B1" t="s">
        <v>0</v>
      </c>
      <c r="E1" s="12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2:24">
      <c r="E2" t="s">
        <v>2</v>
      </c>
      <c r="G2" t="s">
        <v>3</v>
      </c>
      <c r="I2" t="s">
        <v>4</v>
      </c>
      <c r="K2" t="s">
        <v>5</v>
      </c>
      <c r="M2" t="s">
        <v>6</v>
      </c>
      <c r="O2" t="s">
        <v>7</v>
      </c>
      <c r="Q2" t="s">
        <v>8</v>
      </c>
      <c r="S2" t="s">
        <v>9</v>
      </c>
      <c r="U2" t="s">
        <v>10</v>
      </c>
      <c r="W2" t="s">
        <v>11</v>
      </c>
    </row>
    <row r="3" spans="2:24">
      <c r="B3">
        <v>3.5</v>
      </c>
      <c r="C3" s="1">
        <v>0.8</v>
      </c>
    </row>
    <row r="4" spans="2:24">
      <c r="B4">
        <v>2.5</v>
      </c>
      <c r="C4" s="1">
        <v>0.8</v>
      </c>
    </row>
    <row r="5" spans="2:24">
      <c r="B5">
        <v>3.5</v>
      </c>
      <c r="C5" s="1">
        <v>0.7</v>
      </c>
    </row>
    <row r="6" spans="2:24">
      <c r="B6">
        <v>2.5</v>
      </c>
      <c r="C6" s="1">
        <v>0.7</v>
      </c>
    </row>
    <row r="8" spans="2:24">
      <c r="C8" s="4" t="s">
        <v>12</v>
      </c>
      <c r="D8" s="5"/>
      <c r="E8" s="5" t="s">
        <v>13</v>
      </c>
      <c r="F8" s="5"/>
      <c r="G8" s="5" t="s">
        <v>13</v>
      </c>
      <c r="H8" s="5"/>
      <c r="I8" s="5" t="s">
        <v>14</v>
      </c>
      <c r="J8" s="5"/>
      <c r="K8" s="5" t="s">
        <v>13</v>
      </c>
      <c r="L8" s="5"/>
      <c r="M8" s="5" t="s">
        <v>14</v>
      </c>
      <c r="N8" s="5"/>
      <c r="O8" s="5" t="s">
        <v>13</v>
      </c>
      <c r="P8" s="5"/>
      <c r="Q8" s="5" t="s">
        <v>13</v>
      </c>
      <c r="R8" s="5"/>
      <c r="S8" s="5" t="s">
        <v>13</v>
      </c>
      <c r="T8" s="5"/>
      <c r="U8" s="5" t="s">
        <v>14</v>
      </c>
      <c r="V8" s="5"/>
      <c r="W8" s="6" t="s">
        <v>13</v>
      </c>
    </row>
    <row r="9" spans="2:24">
      <c r="C9" s="4" t="s">
        <v>15</v>
      </c>
      <c r="D9" s="5"/>
      <c r="E9" s="5">
        <v>3.5</v>
      </c>
      <c r="F9" s="5"/>
      <c r="G9" s="5">
        <v>3.5</v>
      </c>
      <c r="H9" s="5"/>
      <c r="I9" s="5">
        <v>2.5</v>
      </c>
      <c r="J9" s="5"/>
      <c r="K9" s="5">
        <v>3.5</v>
      </c>
      <c r="L9" s="5"/>
      <c r="M9" s="5">
        <v>2.5</v>
      </c>
      <c r="N9" s="5"/>
      <c r="O9" s="5">
        <v>3.5</v>
      </c>
      <c r="P9" s="5"/>
      <c r="Q9" s="5">
        <v>3.5</v>
      </c>
      <c r="R9" s="5"/>
      <c r="S9" s="5">
        <v>3.5</v>
      </c>
      <c r="T9" s="5"/>
      <c r="U9" s="5">
        <v>2.5</v>
      </c>
      <c r="V9" s="5"/>
      <c r="W9" s="6">
        <v>3.5</v>
      </c>
    </row>
    <row r="10" spans="2:24">
      <c r="C10" s="2" t="s">
        <v>16</v>
      </c>
      <c r="E10" t="s">
        <v>14</v>
      </c>
      <c r="G10" t="s">
        <v>14</v>
      </c>
      <c r="I10" t="s">
        <v>14</v>
      </c>
      <c r="K10" t="s">
        <v>14</v>
      </c>
      <c r="M10" t="s">
        <v>14</v>
      </c>
      <c r="O10" t="s">
        <v>13</v>
      </c>
      <c r="Q10" t="s">
        <v>13</v>
      </c>
      <c r="S10" t="s">
        <v>14</v>
      </c>
      <c r="U10" t="s">
        <v>14</v>
      </c>
      <c r="W10" s="3" t="s">
        <v>13</v>
      </c>
    </row>
    <row r="11" spans="2:24">
      <c r="C11" s="4" t="s">
        <v>17</v>
      </c>
      <c r="D11" s="5"/>
      <c r="E11" s="5">
        <v>-210</v>
      </c>
      <c r="F11" s="5"/>
      <c r="G11" s="5">
        <v>-185</v>
      </c>
      <c r="H11" s="5"/>
      <c r="I11" s="5">
        <v>-140</v>
      </c>
      <c r="J11" s="5"/>
      <c r="K11" s="5">
        <v>-310</v>
      </c>
      <c r="L11" s="5"/>
      <c r="M11" s="5">
        <v>-225</v>
      </c>
      <c r="N11" s="5"/>
      <c r="O11" s="5">
        <v>-320</v>
      </c>
      <c r="P11" s="5"/>
      <c r="Q11" s="5">
        <v>-220</v>
      </c>
      <c r="R11" s="5"/>
      <c r="S11" s="5">
        <v>-380</v>
      </c>
      <c r="T11" s="5"/>
      <c r="U11" s="5">
        <v>105</v>
      </c>
      <c r="V11" s="5"/>
      <c r="W11" s="6">
        <v>-330</v>
      </c>
    </row>
    <row r="13" spans="2:24">
      <c r="C13" s="4" t="s">
        <v>18</v>
      </c>
      <c r="D13" s="5"/>
      <c r="E13" s="5">
        <v>-1</v>
      </c>
      <c r="F13" s="5"/>
      <c r="G13" s="5">
        <v>-1</v>
      </c>
      <c r="H13" s="5"/>
      <c r="I13" s="5">
        <v>-1</v>
      </c>
      <c r="J13" s="5"/>
      <c r="K13" s="5">
        <v>-1</v>
      </c>
      <c r="L13" s="5"/>
      <c r="M13" s="5">
        <v>-1</v>
      </c>
      <c r="N13" s="5"/>
      <c r="O13" s="5">
        <v>-1</v>
      </c>
      <c r="P13" s="5"/>
      <c r="Q13" s="5">
        <v>-1</v>
      </c>
      <c r="R13" s="5"/>
      <c r="S13" s="5">
        <v>-1</v>
      </c>
      <c r="T13" s="5"/>
      <c r="U13" s="5">
        <v>-1</v>
      </c>
      <c r="V13" s="5"/>
      <c r="W13" s="6">
        <v>-1</v>
      </c>
      <c r="X13" s="8">
        <f>SUM(E13:W13)</f>
        <v>-10</v>
      </c>
    </row>
    <row r="14" spans="2:24">
      <c r="C14" s="4" t="s">
        <v>19</v>
      </c>
      <c r="D14" s="5"/>
      <c r="E14" s="5">
        <v>0.48</v>
      </c>
      <c r="F14" s="5"/>
      <c r="G14" s="5">
        <v>0.54</v>
      </c>
      <c r="H14" s="5"/>
      <c r="I14" s="5">
        <v>0.71</v>
      </c>
      <c r="J14" s="5"/>
      <c r="K14" s="5">
        <v>0.32</v>
      </c>
      <c r="L14" s="5"/>
      <c r="M14" s="5">
        <v>0.44</v>
      </c>
      <c r="N14" s="5"/>
      <c r="O14" s="5">
        <v>0.31</v>
      </c>
      <c r="P14" s="5"/>
      <c r="Q14" s="5">
        <v>0.45</v>
      </c>
      <c r="R14" s="5"/>
      <c r="S14" s="5">
        <v>0.38</v>
      </c>
      <c r="T14" s="5"/>
      <c r="U14" s="5">
        <v>1.05</v>
      </c>
      <c r="V14" s="5"/>
      <c r="W14" s="6">
        <v>0.3</v>
      </c>
      <c r="X14" s="8">
        <f>SUM(E14:W14)</f>
        <v>4.9799999999999995</v>
      </c>
    </row>
    <row r="15" spans="2:24" ht="15.75" thickBot="1">
      <c r="C15" s="4" t="s">
        <v>20</v>
      </c>
      <c r="D15" s="5"/>
      <c r="E15" s="5">
        <f>IF(E10=E8,-E13+E14,0)</f>
        <v>0</v>
      </c>
      <c r="F15" s="5"/>
      <c r="G15" s="5">
        <f>IF(G10=G8,-G13+G14,0)</f>
        <v>0</v>
      </c>
      <c r="H15" s="5"/>
      <c r="I15" s="5">
        <f>IF(I10=I8,-I13+I14,0)</f>
        <v>1.71</v>
      </c>
      <c r="J15" s="5"/>
      <c r="K15" s="5">
        <f>IF(K10=K8,-K13+K14,0)</f>
        <v>0</v>
      </c>
      <c r="L15" s="5"/>
      <c r="M15" s="5">
        <f>IF(M10=M8,-M13+M14,0)</f>
        <v>1.44</v>
      </c>
      <c r="N15" s="5"/>
      <c r="O15" s="5">
        <f>IF(O10=O8,-O13+O14,0)</f>
        <v>1.31</v>
      </c>
      <c r="P15" s="5"/>
      <c r="Q15" s="5">
        <f>IF(Q10=Q8,-Q13+Q14,0)</f>
        <v>1.45</v>
      </c>
      <c r="R15" s="5"/>
      <c r="S15" s="5">
        <f>IF(S10=S8,-S13+S14,0)</f>
        <v>0</v>
      </c>
      <c r="T15" s="5"/>
      <c r="U15" s="5">
        <f>IF(U10=U8,-U13+U14,0)</f>
        <v>2.0499999999999998</v>
      </c>
      <c r="V15" s="5"/>
      <c r="W15" s="6">
        <f>IF(W10=W8,-W13+W14,0)</f>
        <v>1.3</v>
      </c>
      <c r="X15" s="9">
        <f>SUM(E15:W15)</f>
        <v>9.26</v>
      </c>
    </row>
    <row r="16" spans="2:24" ht="16.5" thickTop="1" thickBot="1">
      <c r="X16" s="10">
        <f>X13+X15</f>
        <v>-0.74000000000000021</v>
      </c>
    </row>
    <row r="17" spans="2:24" ht="15.75" thickBot="1">
      <c r="V17" s="13" t="s">
        <v>21</v>
      </c>
      <c r="W17" s="13"/>
      <c r="X17" s="11">
        <f>X16</f>
        <v>-0.74000000000000021</v>
      </c>
    </row>
    <row r="18" spans="2:24" ht="24">
      <c r="E18" s="12" t="s">
        <v>22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2:24">
      <c r="E19" t="s">
        <v>23</v>
      </c>
      <c r="G19" t="s">
        <v>24</v>
      </c>
      <c r="I19" t="s">
        <v>25</v>
      </c>
      <c r="K19" t="s">
        <v>26</v>
      </c>
      <c r="M19" t="s">
        <v>27</v>
      </c>
      <c r="O19" t="s">
        <v>28</v>
      </c>
      <c r="Q19" t="s">
        <v>29</v>
      </c>
      <c r="S19" t="s">
        <v>30</v>
      </c>
      <c r="U19" t="s">
        <v>31</v>
      </c>
      <c r="W19" t="s">
        <v>32</v>
      </c>
    </row>
    <row r="20" spans="2:24">
      <c r="B20">
        <v>3.5</v>
      </c>
      <c r="C20" s="1">
        <v>0.8</v>
      </c>
      <c r="E20" t="s">
        <v>13</v>
      </c>
      <c r="G20" t="s">
        <v>13</v>
      </c>
      <c r="I20" t="s">
        <v>14</v>
      </c>
      <c r="K20" t="s">
        <v>13</v>
      </c>
      <c r="M20" t="s">
        <v>14</v>
      </c>
      <c r="O20" t="s">
        <v>13</v>
      </c>
      <c r="Q20" t="s">
        <v>13</v>
      </c>
      <c r="S20" t="s">
        <v>13</v>
      </c>
      <c r="U20" t="s">
        <v>13</v>
      </c>
      <c r="W20" t="s">
        <v>14</v>
      </c>
    </row>
    <row r="21" spans="2:24">
      <c r="B21">
        <v>2.5</v>
      </c>
      <c r="C21" s="1">
        <v>0.8</v>
      </c>
    </row>
    <row r="22" spans="2:24">
      <c r="B22">
        <v>3.5</v>
      </c>
      <c r="C22" s="1">
        <v>0.7</v>
      </c>
    </row>
    <row r="23" spans="2:24">
      <c r="B23">
        <v>2.5</v>
      </c>
      <c r="C23" s="1">
        <v>0.7</v>
      </c>
    </row>
    <row r="25" spans="2:24">
      <c r="C25" s="4" t="s">
        <v>12</v>
      </c>
      <c r="D25" s="5"/>
      <c r="E25" s="5" t="s">
        <v>13</v>
      </c>
      <c r="F25" s="5"/>
      <c r="G25" s="5" t="s">
        <v>33</v>
      </c>
      <c r="H25" s="5"/>
      <c r="I25" s="5" t="s">
        <v>13</v>
      </c>
      <c r="J25" s="5"/>
      <c r="K25" s="5" t="s">
        <v>13</v>
      </c>
      <c r="L25" s="5"/>
      <c r="M25" s="5" t="s">
        <v>13</v>
      </c>
      <c r="N25" s="5"/>
      <c r="O25" s="5" t="s">
        <v>14</v>
      </c>
      <c r="P25" s="5"/>
      <c r="Q25" s="5" t="s">
        <v>13</v>
      </c>
      <c r="R25" s="5"/>
      <c r="S25" s="5" t="s">
        <v>14</v>
      </c>
      <c r="T25" s="5"/>
      <c r="U25" s="5" t="s">
        <v>13</v>
      </c>
      <c r="V25" s="5"/>
      <c r="W25" s="6" t="s">
        <v>14</v>
      </c>
    </row>
    <row r="26" spans="2:24">
      <c r="C26" s="4" t="s">
        <v>15</v>
      </c>
      <c r="D26" s="5"/>
      <c r="E26" s="5">
        <v>3.5</v>
      </c>
      <c r="F26" s="5"/>
      <c r="G26" s="5">
        <v>3.5</v>
      </c>
      <c r="H26" s="5"/>
      <c r="I26" s="5">
        <v>3.5</v>
      </c>
      <c r="J26" s="5"/>
      <c r="K26" s="5">
        <v>3.5</v>
      </c>
      <c r="L26" s="5"/>
      <c r="M26" s="5">
        <v>3.5</v>
      </c>
      <c r="N26" s="5"/>
      <c r="O26" s="5">
        <v>2.5</v>
      </c>
      <c r="P26" s="5"/>
      <c r="Q26" s="5">
        <v>3.5</v>
      </c>
      <c r="R26" s="5"/>
      <c r="S26" s="5">
        <v>2.5</v>
      </c>
      <c r="T26" s="5"/>
      <c r="U26" s="5">
        <v>3.5</v>
      </c>
      <c r="V26" s="5"/>
      <c r="W26" s="6">
        <v>2.5</v>
      </c>
    </row>
    <row r="27" spans="2:24">
      <c r="C27" s="4" t="s">
        <v>16</v>
      </c>
      <c r="D27" s="5"/>
      <c r="E27" s="5" t="s">
        <v>14</v>
      </c>
      <c r="F27" s="5"/>
      <c r="G27" s="5" t="s">
        <v>13</v>
      </c>
      <c r="H27" s="5"/>
      <c r="I27" s="5" t="s">
        <v>13</v>
      </c>
      <c r="J27" s="5"/>
      <c r="K27" s="5" t="s">
        <v>13</v>
      </c>
      <c r="L27" s="5"/>
      <c r="M27" s="5" t="s">
        <v>13</v>
      </c>
      <c r="N27" s="5"/>
      <c r="O27" s="5" t="s">
        <v>14</v>
      </c>
      <c r="P27" s="5"/>
      <c r="Q27" s="5" t="s">
        <v>13</v>
      </c>
      <c r="R27" s="5"/>
      <c r="S27" s="5" t="s">
        <v>13</v>
      </c>
      <c r="T27" s="5"/>
      <c r="U27" s="5" t="s">
        <v>13</v>
      </c>
      <c r="V27" s="5"/>
      <c r="W27" s="6" t="s">
        <v>13</v>
      </c>
    </row>
    <row r="28" spans="2:24">
      <c r="C28" s="4" t="s">
        <v>17</v>
      </c>
      <c r="D28" s="5"/>
      <c r="E28" s="5">
        <v>-310</v>
      </c>
      <c r="F28" s="5"/>
      <c r="G28" s="5">
        <v>-295</v>
      </c>
      <c r="H28" s="5"/>
      <c r="I28" s="5">
        <v>-270</v>
      </c>
      <c r="J28" s="5"/>
      <c r="K28" s="5">
        <v>-290</v>
      </c>
      <c r="L28" s="5"/>
      <c r="M28" s="5">
        <v>-165</v>
      </c>
      <c r="N28" s="5"/>
      <c r="O28" s="5">
        <v>115</v>
      </c>
      <c r="P28" s="5"/>
      <c r="Q28" s="5">
        <v>-300</v>
      </c>
      <c r="R28" s="5"/>
      <c r="S28" s="5">
        <v>-155</v>
      </c>
      <c r="T28" s="5"/>
      <c r="U28" s="5">
        <v>-270</v>
      </c>
      <c r="V28" s="5"/>
      <c r="W28" s="6">
        <v>-175</v>
      </c>
    </row>
    <row r="30" spans="2:24">
      <c r="C30" s="4" t="s">
        <v>18</v>
      </c>
      <c r="D30" s="5"/>
      <c r="E30" s="5">
        <v>-1</v>
      </c>
      <c r="F30" s="5"/>
      <c r="G30" s="5">
        <v>0</v>
      </c>
      <c r="H30" s="5"/>
      <c r="I30" s="5">
        <v>-1</v>
      </c>
      <c r="J30" s="5"/>
      <c r="K30" s="5">
        <v>-1</v>
      </c>
      <c r="L30" s="5"/>
      <c r="M30" s="5">
        <v>-1</v>
      </c>
      <c r="N30" s="5"/>
      <c r="O30" s="5">
        <v>-1</v>
      </c>
      <c r="P30" s="5"/>
      <c r="Q30" s="5">
        <v>-1</v>
      </c>
      <c r="R30" s="5"/>
      <c r="S30" s="5">
        <v>-1</v>
      </c>
      <c r="T30" s="5"/>
      <c r="U30" s="5">
        <v>-1</v>
      </c>
      <c r="V30" s="5"/>
      <c r="W30" s="6">
        <v>-1</v>
      </c>
      <c r="X30" s="8">
        <f>SUM(E30:W30)</f>
        <v>-9</v>
      </c>
    </row>
    <row r="31" spans="2:24">
      <c r="C31" s="4" t="s">
        <v>19</v>
      </c>
      <c r="D31" s="5"/>
      <c r="E31" s="5">
        <v>0.3</v>
      </c>
      <c r="F31" s="5"/>
      <c r="G31" s="5">
        <v>0</v>
      </c>
      <c r="H31" s="5"/>
      <c r="I31" s="5">
        <v>0.37</v>
      </c>
      <c r="J31" s="5"/>
      <c r="K31" s="5">
        <v>0.34</v>
      </c>
      <c r="L31" s="5"/>
      <c r="M31" s="5">
        <v>0.6</v>
      </c>
      <c r="N31" s="5"/>
      <c r="O31" s="5">
        <v>1.1499999999999999</v>
      </c>
      <c r="P31" s="5"/>
      <c r="Q31" s="5">
        <v>0.33</v>
      </c>
      <c r="R31" s="5"/>
      <c r="S31" s="5">
        <v>0.64</v>
      </c>
      <c r="T31" s="5"/>
      <c r="U31" s="5">
        <v>0.37</v>
      </c>
      <c r="V31" s="5"/>
      <c r="W31" s="6">
        <v>0.56999999999999995</v>
      </c>
      <c r="X31" s="8">
        <f>SUM(E31:W31)</f>
        <v>4.67</v>
      </c>
    </row>
    <row r="32" spans="2:24" ht="15.75" thickBot="1">
      <c r="C32" s="4" t="s">
        <v>20</v>
      </c>
      <c r="D32" s="5"/>
      <c r="E32" s="5">
        <f>IF(E27=E25,-E30+E31,0)</f>
        <v>0</v>
      </c>
      <c r="F32" s="5"/>
      <c r="G32" s="5">
        <f>IF(G27=G25,-G30+G31,0)</f>
        <v>0</v>
      </c>
      <c r="H32" s="5"/>
      <c r="I32" s="5">
        <f>IF(I27=I25,-I30+I31,0)</f>
        <v>1.37</v>
      </c>
      <c r="J32" s="5"/>
      <c r="K32" s="5">
        <f>IF(K27=K25,-K30+K31,0)</f>
        <v>1.34</v>
      </c>
      <c r="L32" s="5"/>
      <c r="M32" s="5">
        <f>IF(M27=M25,-M30+M31,0)</f>
        <v>1.6</v>
      </c>
      <c r="N32" s="5"/>
      <c r="O32" s="5">
        <f>IF(O27=O25,-O30+O31,0)</f>
        <v>2.15</v>
      </c>
      <c r="P32" s="5"/>
      <c r="Q32" s="5">
        <f>IF(Q27=Q25,-Q30+Q31,0)</f>
        <v>1.33</v>
      </c>
      <c r="R32" s="5"/>
      <c r="S32" s="5">
        <f>IF(S27=S25,-S30+S31,0)</f>
        <v>0</v>
      </c>
      <c r="T32" s="5"/>
      <c r="U32" s="5">
        <f>IF(U27=U25,-U30+U31,0)</f>
        <v>1.37</v>
      </c>
      <c r="V32" s="5"/>
      <c r="W32" s="6">
        <f>IF(W27=W25,-W30+W31,0)</f>
        <v>0</v>
      </c>
      <c r="X32" s="9">
        <f>SUM(E32:W32)</f>
        <v>9.16</v>
      </c>
    </row>
    <row r="33" spans="2:24" ht="16.5" thickTop="1" thickBot="1">
      <c r="X33" s="7">
        <f>X30+X32</f>
        <v>0.16000000000000014</v>
      </c>
    </row>
    <row r="34" spans="2:24" ht="15.75" thickBot="1">
      <c r="V34" s="13" t="s">
        <v>21</v>
      </c>
      <c r="W34" s="13"/>
      <c r="X34" s="11">
        <f>X33+X17</f>
        <v>-0.58000000000000007</v>
      </c>
    </row>
    <row r="35" spans="2:24" ht="24">
      <c r="E35" s="12" t="s">
        <v>34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2:24">
      <c r="E36" t="s">
        <v>35</v>
      </c>
      <c r="G36" t="s">
        <v>36</v>
      </c>
      <c r="I36" t="s">
        <v>37</v>
      </c>
      <c r="K36" t="s">
        <v>38</v>
      </c>
      <c r="M36" t="s">
        <v>39</v>
      </c>
      <c r="O36" t="s">
        <v>40</v>
      </c>
      <c r="Q36" t="s">
        <v>41</v>
      </c>
      <c r="S36" t="s">
        <v>42</v>
      </c>
      <c r="U36" t="s">
        <v>43</v>
      </c>
      <c r="W36" t="s">
        <v>44</v>
      </c>
    </row>
    <row r="37" spans="2:24">
      <c r="B37">
        <v>3.5</v>
      </c>
      <c r="C37" s="1">
        <v>0.8</v>
      </c>
      <c r="E37" t="s">
        <v>13</v>
      </c>
      <c r="G37" t="s">
        <v>13</v>
      </c>
      <c r="I37" t="s">
        <v>14</v>
      </c>
      <c r="K37" t="s">
        <v>13</v>
      </c>
      <c r="M37" t="s">
        <v>14</v>
      </c>
      <c r="O37" t="s">
        <v>14</v>
      </c>
      <c r="Q37" t="s">
        <v>13</v>
      </c>
      <c r="S37" t="s">
        <v>13</v>
      </c>
      <c r="U37" t="s">
        <v>13</v>
      </c>
      <c r="W37" t="s">
        <v>14</v>
      </c>
    </row>
    <row r="38" spans="2:24">
      <c r="B38">
        <v>2.5</v>
      </c>
      <c r="C38" s="1">
        <v>0.8</v>
      </c>
      <c r="E38" t="s">
        <v>13</v>
      </c>
      <c r="G38" t="s">
        <v>13</v>
      </c>
      <c r="I38" t="s">
        <v>14</v>
      </c>
      <c r="K38" t="s">
        <v>13</v>
      </c>
      <c r="M38" t="s">
        <v>14</v>
      </c>
      <c r="O38" t="s">
        <v>14</v>
      </c>
      <c r="Q38" t="s">
        <v>13</v>
      </c>
      <c r="S38" t="s">
        <v>13</v>
      </c>
      <c r="U38" t="s">
        <v>13</v>
      </c>
      <c r="W38" t="s">
        <v>14</v>
      </c>
    </row>
    <row r="39" spans="2:24">
      <c r="B39">
        <v>3.5</v>
      </c>
      <c r="C39" s="1">
        <v>0.7</v>
      </c>
      <c r="E39" t="s">
        <v>13</v>
      </c>
      <c r="G39" t="s">
        <v>13</v>
      </c>
      <c r="I39" t="s">
        <v>14</v>
      </c>
      <c r="K39" t="s">
        <v>13</v>
      </c>
      <c r="M39" t="s">
        <v>13</v>
      </c>
      <c r="O39" t="s">
        <v>14</v>
      </c>
      <c r="Q39" t="s">
        <v>13</v>
      </c>
      <c r="S39" t="s">
        <v>13</v>
      </c>
      <c r="U39" t="s">
        <v>13</v>
      </c>
      <c r="W39" t="s">
        <v>13</v>
      </c>
    </row>
    <row r="40" spans="2:24">
      <c r="B40">
        <v>2.5</v>
      </c>
      <c r="C40" s="1">
        <v>0.7</v>
      </c>
      <c r="E40" t="s">
        <v>13</v>
      </c>
      <c r="G40" t="s">
        <v>13</v>
      </c>
      <c r="I40" t="s">
        <v>13</v>
      </c>
      <c r="K40" t="s">
        <v>13</v>
      </c>
      <c r="M40" t="s">
        <v>14</v>
      </c>
      <c r="O40" t="s">
        <v>14</v>
      </c>
      <c r="Q40" t="s">
        <v>13</v>
      </c>
      <c r="S40" t="s">
        <v>13</v>
      </c>
      <c r="U40" t="s">
        <v>13</v>
      </c>
      <c r="W40" t="s">
        <v>13</v>
      </c>
    </row>
    <row r="42" spans="2:24">
      <c r="C42" s="4" t="s">
        <v>12</v>
      </c>
      <c r="D42" s="5"/>
      <c r="E42" s="5" t="s">
        <v>45</v>
      </c>
      <c r="F42" s="5"/>
      <c r="G42" s="5" t="s">
        <v>45</v>
      </c>
      <c r="H42" s="5"/>
      <c r="I42" s="5" t="s">
        <v>45</v>
      </c>
      <c r="J42" s="5"/>
      <c r="K42" s="5" t="s">
        <v>45</v>
      </c>
      <c r="L42" s="5"/>
      <c r="M42" s="5" t="s">
        <v>45</v>
      </c>
      <c r="N42" s="5"/>
      <c r="O42" s="5" t="s">
        <v>45</v>
      </c>
      <c r="P42" s="5"/>
      <c r="Q42" s="5" t="s">
        <v>45</v>
      </c>
      <c r="R42" s="5"/>
      <c r="S42" s="5" t="s">
        <v>13</v>
      </c>
      <c r="T42" s="5"/>
      <c r="U42" s="5" t="s">
        <v>13</v>
      </c>
      <c r="V42" s="5"/>
      <c r="W42" s="5" t="s">
        <v>13</v>
      </c>
    </row>
    <row r="43" spans="2:24">
      <c r="C43" s="4" t="s">
        <v>15</v>
      </c>
      <c r="D43" s="5"/>
      <c r="E43" s="5">
        <v>3.5</v>
      </c>
      <c r="F43" s="5"/>
      <c r="G43" s="5">
        <v>3.5</v>
      </c>
      <c r="H43" s="5"/>
      <c r="I43" s="5">
        <v>3.5</v>
      </c>
      <c r="J43" s="5"/>
      <c r="K43" s="5">
        <v>2.5</v>
      </c>
      <c r="L43" s="5"/>
      <c r="M43" s="5">
        <v>3.5</v>
      </c>
      <c r="N43" s="5"/>
      <c r="O43" s="5">
        <v>2.5</v>
      </c>
      <c r="P43" s="5"/>
      <c r="Q43" s="5">
        <v>3.5</v>
      </c>
      <c r="R43" s="5"/>
      <c r="S43" s="5">
        <v>3.5</v>
      </c>
      <c r="T43" s="5"/>
      <c r="U43" s="5">
        <v>3.5</v>
      </c>
      <c r="V43" s="5"/>
      <c r="W43" s="6">
        <v>3.5</v>
      </c>
    </row>
    <row r="44" spans="2:24">
      <c r="C44" s="4" t="s">
        <v>16</v>
      </c>
      <c r="D44" s="5"/>
      <c r="E44" s="5" t="s">
        <v>13</v>
      </c>
      <c r="F44" s="5"/>
      <c r="G44" s="5" t="s">
        <v>13</v>
      </c>
      <c r="H44" s="5"/>
      <c r="I44" s="5" t="s">
        <v>13</v>
      </c>
      <c r="J44" s="5"/>
      <c r="K44" s="5" t="s">
        <v>14</v>
      </c>
      <c r="L44" s="5"/>
      <c r="M44" s="5" t="s">
        <v>13</v>
      </c>
      <c r="N44" s="5"/>
      <c r="O44" s="5" t="s">
        <v>13</v>
      </c>
      <c r="P44" s="5"/>
      <c r="Q44" s="5" t="s">
        <v>13</v>
      </c>
      <c r="R44" s="5"/>
      <c r="S44" s="5" t="s">
        <v>13</v>
      </c>
      <c r="T44" s="5"/>
      <c r="U44" s="5" t="s">
        <v>13</v>
      </c>
      <c r="V44" s="5"/>
      <c r="W44" s="6" t="s">
        <v>13</v>
      </c>
    </row>
    <row r="45" spans="2:24">
      <c r="C45" s="4" t="s">
        <v>17</v>
      </c>
      <c r="D45" s="5"/>
      <c r="E45" s="5">
        <v>-235</v>
      </c>
      <c r="F45" s="5"/>
      <c r="G45" s="5">
        <v>-240</v>
      </c>
      <c r="H45" s="5"/>
      <c r="I45" s="5">
        <v>115</v>
      </c>
      <c r="J45" s="5"/>
      <c r="K45" s="5">
        <v>-115</v>
      </c>
      <c r="L45" s="5"/>
      <c r="M45" s="5">
        <v>-125</v>
      </c>
      <c r="N45" s="5"/>
      <c r="O45" s="5">
        <v>135</v>
      </c>
      <c r="P45" s="5"/>
      <c r="Q45" s="5">
        <v>-340</v>
      </c>
      <c r="R45" s="5"/>
      <c r="S45" s="5">
        <v>-285</v>
      </c>
      <c r="T45" s="5"/>
      <c r="U45" s="5">
        <v>-145</v>
      </c>
      <c r="V45" s="5"/>
      <c r="W45" s="6">
        <v>-275</v>
      </c>
    </row>
    <row r="47" spans="2:24">
      <c r="C47" s="4" t="s">
        <v>18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-1</v>
      </c>
      <c r="T47" s="5"/>
      <c r="U47" s="5">
        <v>-1</v>
      </c>
      <c r="V47" s="5"/>
      <c r="W47" s="6">
        <v>-1</v>
      </c>
      <c r="X47" s="8">
        <f>SUM(E47:W47)</f>
        <v>-3</v>
      </c>
    </row>
    <row r="48" spans="2:24">
      <c r="C48" s="4" t="s">
        <v>19</v>
      </c>
      <c r="D48" s="5"/>
      <c r="E48" s="5">
        <f>IF(E45&gt;0,ROUND(ABS(E47)*(E45/100),2),ROUND(E47/(E45/100),2))</f>
        <v>0</v>
      </c>
      <c r="F48" s="5"/>
      <c r="G48" s="5">
        <f>IF(G45&gt;0,ROUND(ABS(G47)*(G45/100),2),ROUND(G47/(G45/100),2))</f>
        <v>0</v>
      </c>
      <c r="H48" s="5"/>
      <c r="I48" s="5">
        <f>IF(I45&gt;0,ROUND(ABS(I47)*(I45/100),2),ROUND(I47/(I45/100),2))</f>
        <v>0</v>
      </c>
      <c r="J48" s="5"/>
      <c r="K48" s="5">
        <f>IF(K45&gt;0,ROUND(ABS(K47)*(K45/100),2),ROUND(K47/(K45/100),2))</f>
        <v>0</v>
      </c>
      <c r="L48" s="5"/>
      <c r="M48" s="5">
        <f>IF(M45&gt;0,ROUND(ABS(M47)*(M45/100),2),ROUND(M47/(M45/100),2))</f>
        <v>0</v>
      </c>
      <c r="N48" s="5"/>
      <c r="O48" s="5">
        <f>IF(O45&gt;0,ROUND(ABS(O47)*(O45/100),2),ROUND(O47/(O45/100),2))</f>
        <v>0</v>
      </c>
      <c r="P48" s="5"/>
      <c r="Q48" s="5">
        <f>IF(Q45&gt;0,ROUND(ABS(Q47)*(Q45/100),2),ROUND(Q47/(Q45/100),2))</f>
        <v>0</v>
      </c>
      <c r="R48" s="5"/>
      <c r="S48" s="5">
        <f>IF(S45&gt;0,ROUND(ABS(S47)*(S45/100),2),ROUND(S47/(S45/100),2))</f>
        <v>0.35</v>
      </c>
      <c r="T48" s="5"/>
      <c r="U48" s="5">
        <f>IF(U45&gt;0,ROUND(ABS(U47)*(U45/100),2),ROUND(U47/(U45/100),2))</f>
        <v>0.69</v>
      </c>
      <c r="V48" s="5"/>
      <c r="W48" s="5">
        <f>IF(W45&gt;0,ROUND(ABS(W47)*(W45/100),2),ROUND(W47/(W45/100),2))</f>
        <v>0.36</v>
      </c>
      <c r="X48" s="8">
        <f>SUM(E48:W48)</f>
        <v>1.4</v>
      </c>
    </row>
    <row r="49" spans="2:24" ht="15.75" thickBot="1">
      <c r="C49" s="4" t="s">
        <v>20</v>
      </c>
      <c r="D49" s="5"/>
      <c r="E49" s="5">
        <f>IF(E44=E42,-E47+E48,0)</f>
        <v>0</v>
      </c>
      <c r="F49" s="5"/>
      <c r="G49" s="5">
        <f>IF(G44=G42,-G47+G48,0)</f>
        <v>0</v>
      </c>
      <c r="H49" s="5"/>
      <c r="I49" s="5">
        <f>IF(I44=I42,-I47+I48,0)</f>
        <v>0</v>
      </c>
      <c r="J49" s="5"/>
      <c r="K49" s="5">
        <f>IF(K44=K42,-K47+K48,0)</f>
        <v>0</v>
      </c>
      <c r="L49" s="5"/>
      <c r="M49" s="5">
        <f>IF(M44=M42,-M47+M48,0)</f>
        <v>0</v>
      </c>
      <c r="N49" s="5"/>
      <c r="O49" s="5">
        <f>IF(O44=O42,-O47+O48,0)</f>
        <v>0</v>
      </c>
      <c r="P49" s="5"/>
      <c r="Q49" s="5">
        <f>IF(Q44=Q42,-Q47+Q48,0)</f>
        <v>0</v>
      </c>
      <c r="R49" s="5"/>
      <c r="S49" s="5">
        <f>IF(S44=S42,-S47+S48,0)</f>
        <v>1.35</v>
      </c>
      <c r="T49" s="5"/>
      <c r="U49" s="5">
        <f>IF(U44=U42,-U47+U48,0)</f>
        <v>1.69</v>
      </c>
      <c r="V49" s="5"/>
      <c r="W49" s="6">
        <f>IF(W44=W42,-W47+W48,0)</f>
        <v>1.3599999999999999</v>
      </c>
      <c r="X49" s="9">
        <f>SUM(E49:W49)</f>
        <v>4.4000000000000004</v>
      </c>
    </row>
    <row r="50" spans="2:24" ht="16.5" thickTop="1" thickBot="1">
      <c r="X50" s="7">
        <f>X47+X49</f>
        <v>1.4000000000000004</v>
      </c>
    </row>
    <row r="51" spans="2:24" ht="15.75" thickBot="1">
      <c r="V51" s="13" t="s">
        <v>21</v>
      </c>
      <c r="W51" s="13"/>
      <c r="X51" s="11">
        <f>X34+X50</f>
        <v>0.82000000000000028</v>
      </c>
    </row>
    <row r="52" spans="2:24" ht="24">
      <c r="E52" s="12" t="s">
        <v>46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2:24">
      <c r="E53" t="s">
        <v>47</v>
      </c>
      <c r="G53" t="s">
        <v>48</v>
      </c>
      <c r="I53" t="s">
        <v>49</v>
      </c>
      <c r="K53" t="s">
        <v>50</v>
      </c>
      <c r="M53" t="s">
        <v>51</v>
      </c>
      <c r="O53" t="s">
        <v>52</v>
      </c>
      <c r="Q53" t="s">
        <v>53</v>
      </c>
      <c r="S53" t="s">
        <v>54</v>
      </c>
      <c r="U53" t="s">
        <v>55</v>
      </c>
      <c r="W53" t="s">
        <v>56</v>
      </c>
    </row>
    <row r="54" spans="2:24">
      <c r="B54">
        <v>3.5</v>
      </c>
      <c r="C54" s="1">
        <v>0.8</v>
      </c>
      <c r="E54" t="s">
        <v>14</v>
      </c>
      <c r="G54" t="s">
        <v>13</v>
      </c>
      <c r="I54" t="s">
        <v>13</v>
      </c>
      <c r="K54" t="s">
        <v>13</v>
      </c>
      <c r="M54" t="s">
        <v>13</v>
      </c>
      <c r="O54" t="s">
        <v>13</v>
      </c>
      <c r="Q54" t="s">
        <v>13</v>
      </c>
      <c r="S54" t="s">
        <v>13</v>
      </c>
      <c r="U54" t="s">
        <v>13</v>
      </c>
      <c r="W54" t="s">
        <v>13</v>
      </c>
    </row>
    <row r="55" spans="2:24">
      <c r="B55">
        <v>2.5</v>
      </c>
      <c r="C55" s="1">
        <v>0.8</v>
      </c>
      <c r="E55" t="s">
        <v>14</v>
      </c>
      <c r="G55" t="s">
        <v>13</v>
      </c>
      <c r="I55" t="s">
        <v>13</v>
      </c>
      <c r="K55" t="s">
        <v>13</v>
      </c>
      <c r="M55" t="s">
        <v>13</v>
      </c>
      <c r="O55" t="s">
        <v>13</v>
      </c>
      <c r="Q55" t="s">
        <v>13</v>
      </c>
      <c r="S55" t="s">
        <v>13</v>
      </c>
      <c r="U55" t="s">
        <v>13</v>
      </c>
      <c r="W55" t="s">
        <v>13</v>
      </c>
    </row>
    <row r="56" spans="2:24">
      <c r="B56">
        <v>3.5</v>
      </c>
      <c r="C56" s="1">
        <v>0.7</v>
      </c>
      <c r="E56" t="s">
        <v>14</v>
      </c>
      <c r="G56" t="s">
        <v>13</v>
      </c>
      <c r="I56" t="s">
        <v>13</v>
      </c>
      <c r="K56" t="s">
        <v>13</v>
      </c>
      <c r="M56" t="s">
        <v>13</v>
      </c>
      <c r="O56" t="s">
        <v>13</v>
      </c>
      <c r="Q56" t="s">
        <v>13</v>
      </c>
      <c r="S56" t="s">
        <v>13</v>
      </c>
      <c r="U56" t="s">
        <v>13</v>
      </c>
      <c r="W56" t="s">
        <v>13</v>
      </c>
    </row>
    <row r="57" spans="2:24">
      <c r="B57">
        <v>2.5</v>
      </c>
      <c r="C57" s="1">
        <v>0.7</v>
      </c>
      <c r="E57" t="s">
        <v>14</v>
      </c>
      <c r="G57" t="s">
        <v>13</v>
      </c>
      <c r="I57" t="s">
        <v>13</v>
      </c>
      <c r="K57" t="s">
        <v>13</v>
      </c>
      <c r="M57" t="s">
        <v>13</v>
      </c>
      <c r="O57" t="s">
        <v>13</v>
      </c>
      <c r="Q57" t="s">
        <v>13</v>
      </c>
      <c r="S57" t="s">
        <v>13</v>
      </c>
      <c r="U57" t="s">
        <v>13</v>
      </c>
      <c r="W57" t="s">
        <v>13</v>
      </c>
    </row>
    <row r="59" spans="2:24">
      <c r="C59" s="4" t="s">
        <v>12</v>
      </c>
      <c r="D59" s="5"/>
      <c r="E59" s="5" t="s">
        <v>14</v>
      </c>
      <c r="F59" s="5"/>
      <c r="G59" s="5" t="s">
        <v>13</v>
      </c>
      <c r="H59" s="5"/>
      <c r="I59" s="5" t="s">
        <v>13</v>
      </c>
      <c r="J59" s="5"/>
      <c r="K59" s="5" t="s">
        <v>13</v>
      </c>
      <c r="L59" s="5"/>
      <c r="M59" s="5" t="s">
        <v>13</v>
      </c>
      <c r="N59" s="5"/>
      <c r="O59" s="5" t="s">
        <v>13</v>
      </c>
      <c r="P59" s="5"/>
      <c r="Q59" s="5" t="s">
        <v>13</v>
      </c>
      <c r="R59" s="5"/>
      <c r="S59" s="5" t="s">
        <v>13</v>
      </c>
      <c r="T59" s="5"/>
      <c r="U59" s="5" t="s">
        <v>13</v>
      </c>
      <c r="V59" s="5"/>
      <c r="W59" s="6" t="s">
        <v>13</v>
      </c>
    </row>
    <row r="60" spans="2:24">
      <c r="C60" s="4" t="s">
        <v>15</v>
      </c>
      <c r="D60" s="5"/>
      <c r="E60" s="5">
        <v>2.5</v>
      </c>
      <c r="F60" s="5"/>
      <c r="G60" s="5">
        <v>3.5</v>
      </c>
      <c r="H60" s="5"/>
      <c r="I60" s="5">
        <v>3.5</v>
      </c>
      <c r="J60" s="5"/>
      <c r="K60" s="5">
        <v>3.5</v>
      </c>
      <c r="L60" s="5"/>
      <c r="M60" s="5">
        <v>3.5</v>
      </c>
      <c r="N60" s="5"/>
      <c r="O60" s="5">
        <v>3.5</v>
      </c>
      <c r="P60" s="5"/>
      <c r="Q60" s="5">
        <v>3.5</v>
      </c>
      <c r="R60" s="5"/>
      <c r="S60" s="5">
        <v>3.5</v>
      </c>
      <c r="T60" s="5"/>
      <c r="U60" s="5">
        <v>3.5</v>
      </c>
      <c r="V60" s="5"/>
      <c r="W60" s="6">
        <v>3.5</v>
      </c>
    </row>
    <row r="61" spans="2:24">
      <c r="C61" s="4" t="s">
        <v>16</v>
      </c>
      <c r="D61" s="5"/>
      <c r="E61" s="5" t="s">
        <v>14</v>
      </c>
      <c r="F61" s="5"/>
      <c r="G61" s="5" t="s">
        <v>13</v>
      </c>
      <c r="H61" s="5"/>
      <c r="I61" s="5" t="s">
        <v>13</v>
      </c>
      <c r="J61" s="5"/>
      <c r="K61" s="5" t="s">
        <v>14</v>
      </c>
      <c r="L61" s="5"/>
      <c r="M61" s="5" t="s">
        <v>14</v>
      </c>
      <c r="N61" s="5"/>
      <c r="O61" s="5" t="s">
        <v>13</v>
      </c>
      <c r="P61" s="5"/>
      <c r="Q61" s="5" t="s">
        <v>13</v>
      </c>
      <c r="R61" s="5"/>
      <c r="S61" s="5" t="s">
        <v>13</v>
      </c>
      <c r="T61" s="5"/>
      <c r="U61" s="5" t="s">
        <v>14</v>
      </c>
      <c r="V61" s="5"/>
      <c r="W61" s="6" t="s">
        <v>13</v>
      </c>
    </row>
    <row r="62" spans="2:24">
      <c r="C62" s="4" t="s">
        <v>17</v>
      </c>
      <c r="D62" s="5"/>
      <c r="E62" s="5">
        <v>-105</v>
      </c>
      <c r="F62" s="5"/>
      <c r="G62" s="5">
        <v>-225</v>
      </c>
      <c r="H62" s="5"/>
      <c r="I62" s="5">
        <v>-270</v>
      </c>
      <c r="J62" s="5"/>
      <c r="K62" s="5">
        <v>-180</v>
      </c>
      <c r="L62" s="5"/>
      <c r="M62" s="5">
        <v>-170</v>
      </c>
      <c r="N62" s="5"/>
      <c r="O62" s="5">
        <v>-255</v>
      </c>
      <c r="P62" s="5"/>
      <c r="Q62" s="5">
        <v>-235</v>
      </c>
      <c r="R62" s="5"/>
      <c r="S62" s="5">
        <v>-270</v>
      </c>
      <c r="T62" s="5"/>
      <c r="U62" s="5">
        <v>-475</v>
      </c>
      <c r="V62" s="5"/>
      <c r="W62" s="6">
        <v>-310</v>
      </c>
    </row>
    <row r="64" spans="2:24">
      <c r="C64" s="4" t="s">
        <v>18</v>
      </c>
      <c r="D64" s="5"/>
      <c r="E64" s="5">
        <v>-1</v>
      </c>
      <c r="F64" s="5"/>
      <c r="G64" s="5">
        <v>-1</v>
      </c>
      <c r="H64" s="5"/>
      <c r="I64" s="5">
        <v>-1</v>
      </c>
      <c r="J64" s="5"/>
      <c r="K64" s="5">
        <v>-1</v>
      </c>
      <c r="L64" s="5"/>
      <c r="M64" s="5">
        <v>-1</v>
      </c>
      <c r="N64" s="5"/>
      <c r="O64" s="5">
        <v>-1</v>
      </c>
      <c r="P64" s="5"/>
      <c r="Q64" s="5">
        <v>-1</v>
      </c>
      <c r="R64" s="5"/>
      <c r="S64" s="5">
        <v>-1</v>
      </c>
      <c r="T64" s="5"/>
      <c r="U64" s="5">
        <v>-1</v>
      </c>
      <c r="V64" s="5"/>
      <c r="W64" s="6">
        <v>-1</v>
      </c>
      <c r="X64" s="8">
        <f>SUM(E64:W64)</f>
        <v>-10</v>
      </c>
    </row>
    <row r="65" spans="2:24">
      <c r="C65" s="4" t="s">
        <v>19</v>
      </c>
      <c r="D65" s="5"/>
      <c r="E65" s="5">
        <f>IF(E62&gt;0,ROUND(ABS(E64)*(E62/100),2),ROUND(E64/(E62/100),2))</f>
        <v>0.95</v>
      </c>
      <c r="F65" s="5"/>
      <c r="G65" s="5">
        <f>IF(G62&gt;0,ROUND(ABS(G64)*(G62/100),2),ROUND(G64/(G62/100),2))</f>
        <v>0.44</v>
      </c>
      <c r="H65" s="5"/>
      <c r="I65" s="5">
        <f>IF(I62&gt;0,ROUND(ABS(I64)*(I62/100),2),ROUND(I64/(I62/100),2))</f>
        <v>0.37</v>
      </c>
      <c r="J65" s="5"/>
      <c r="K65" s="5">
        <f>IF(K62&gt;0,ROUND(ABS(K64)*(K62/100),2),ROUND(K64/(K62/100),2))</f>
        <v>0.56000000000000005</v>
      </c>
      <c r="L65" s="5"/>
      <c r="M65" s="5">
        <f>IF(M62&gt;0,ROUND(ABS(M64)*(M62/100),2),ROUND(M64/(M62/100),2))</f>
        <v>0.59</v>
      </c>
      <c r="N65" s="5"/>
      <c r="O65" s="5">
        <f>IF(O62&gt;0,ROUND(ABS(O64)*(O62/100),2),ROUND(O64/(O62/100),2))</f>
        <v>0.39</v>
      </c>
      <c r="P65" s="5"/>
      <c r="Q65" s="5">
        <f>IF(Q62&gt;0,ROUND(ABS(Q64)*(Q62/100),2),ROUND(Q64/(Q62/100),2))</f>
        <v>0.43</v>
      </c>
      <c r="R65" s="5"/>
      <c r="S65" s="5">
        <f>IF(S62&gt;0,ROUND(ABS(S64)*(S62/100),2),ROUND(S64/(S62/100),2))</f>
        <v>0.37</v>
      </c>
      <c r="T65" s="5"/>
      <c r="U65" s="5">
        <f>IF(U62&gt;0,ROUND(ABS(U64)*(U62/100),2),ROUND(U64/(U62/100),2))</f>
        <v>0.21</v>
      </c>
      <c r="V65" s="5"/>
      <c r="W65" s="5">
        <f>IF(W62&gt;0,ROUND(ABS(W64)*(W62/100),2),ROUND(W64/(W62/100),2))</f>
        <v>0.32</v>
      </c>
      <c r="X65" s="8">
        <f>SUM(E65:W65)</f>
        <v>4.63</v>
      </c>
    </row>
    <row r="66" spans="2:24" ht="15.75" thickBot="1">
      <c r="C66" s="4" t="s">
        <v>20</v>
      </c>
      <c r="D66" s="5"/>
      <c r="E66" s="5">
        <f>IF(E61=E59,-E64+E65,0)</f>
        <v>1.95</v>
      </c>
      <c r="F66" s="5"/>
      <c r="G66" s="5">
        <f>IF(G61=G59,-G64+G65,0)</f>
        <v>1.44</v>
      </c>
      <c r="H66" s="5"/>
      <c r="I66" s="5">
        <f>IF(I61=I59,-I64+I65,0)</f>
        <v>1.37</v>
      </c>
      <c r="J66" s="5"/>
      <c r="K66" s="5">
        <f>IF(K61=K59,-K64+K65,0)</f>
        <v>0</v>
      </c>
      <c r="L66" s="5"/>
      <c r="M66" s="5">
        <f>IF(M61=M59,-M64+M65,0)</f>
        <v>0</v>
      </c>
      <c r="N66" s="5"/>
      <c r="O66" s="5">
        <f>IF(O61=O59,-O64+O65,0)</f>
        <v>1.3900000000000001</v>
      </c>
      <c r="P66" s="5"/>
      <c r="Q66" s="5">
        <f>IF(Q61=Q59,-Q64+Q65,0)</f>
        <v>1.43</v>
      </c>
      <c r="R66" s="5"/>
      <c r="S66" s="5">
        <f>IF(S61=S59,-S64+S65,0)</f>
        <v>1.37</v>
      </c>
      <c r="T66" s="5"/>
      <c r="U66" s="5">
        <f>IF(U61=U59,-U64+U65,0)</f>
        <v>0</v>
      </c>
      <c r="V66" s="5"/>
      <c r="W66" s="6">
        <f>IF(W61=W59,-W64+W65,0)</f>
        <v>1.32</v>
      </c>
      <c r="X66" s="9">
        <f>SUM(E66:W66)</f>
        <v>10.27</v>
      </c>
    </row>
    <row r="67" spans="2:24" ht="16.5" thickTop="1" thickBot="1">
      <c r="X67" s="7">
        <f>X64+X66</f>
        <v>0.26999999999999957</v>
      </c>
    </row>
    <row r="68" spans="2:24" ht="15.75" thickBot="1">
      <c r="V68" s="13" t="s">
        <v>21</v>
      </c>
      <c r="W68" s="13"/>
      <c r="X68" s="11">
        <f>X51+X67</f>
        <v>1.0899999999999999</v>
      </c>
    </row>
    <row r="69" spans="2:24" ht="24">
      <c r="E69" s="12" t="s">
        <v>57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spans="2:24">
      <c r="E70" t="s">
        <v>58</v>
      </c>
      <c r="G70" t="s">
        <v>59</v>
      </c>
      <c r="I70" t="s">
        <v>60</v>
      </c>
      <c r="K70" t="s">
        <v>61</v>
      </c>
      <c r="M70" t="s">
        <v>62</v>
      </c>
      <c r="O70" t="s">
        <v>63</v>
      </c>
      <c r="Q70" t="s">
        <v>64</v>
      </c>
      <c r="S70" t="s">
        <v>65</v>
      </c>
      <c r="U70" t="s">
        <v>66</v>
      </c>
      <c r="W70" t="s">
        <v>67</v>
      </c>
    </row>
    <row r="71" spans="2:24">
      <c r="B71">
        <v>3.5</v>
      </c>
      <c r="C71" s="1">
        <v>0.8</v>
      </c>
      <c r="E71" t="s">
        <v>13</v>
      </c>
      <c r="G71" t="s">
        <v>13</v>
      </c>
      <c r="I71" t="s">
        <v>14</v>
      </c>
      <c r="K71" t="s">
        <v>13</v>
      </c>
      <c r="M71" t="s">
        <v>13</v>
      </c>
      <c r="O71" t="s">
        <v>13</v>
      </c>
      <c r="Q71" t="s">
        <v>13</v>
      </c>
      <c r="S71" t="s">
        <v>13</v>
      </c>
      <c r="U71" t="s">
        <v>13</v>
      </c>
      <c r="W71" t="s">
        <v>13</v>
      </c>
    </row>
    <row r="72" spans="2:24">
      <c r="B72">
        <v>2.5</v>
      </c>
      <c r="C72" s="1">
        <v>0.8</v>
      </c>
      <c r="E72" t="s">
        <v>13</v>
      </c>
      <c r="G72" t="s">
        <v>13</v>
      </c>
      <c r="I72" t="s">
        <v>14</v>
      </c>
      <c r="K72" t="s">
        <v>13</v>
      </c>
      <c r="M72" t="s">
        <v>13</v>
      </c>
      <c r="O72" t="s">
        <v>13</v>
      </c>
      <c r="Q72" t="s">
        <v>13</v>
      </c>
      <c r="S72" t="s">
        <v>13</v>
      </c>
      <c r="U72" t="s">
        <v>13</v>
      </c>
      <c r="W72" t="s">
        <v>13</v>
      </c>
    </row>
    <row r="73" spans="2:24">
      <c r="B73">
        <v>3.5</v>
      </c>
      <c r="C73" s="1">
        <v>0.7</v>
      </c>
      <c r="E73" t="s">
        <v>13</v>
      </c>
      <c r="G73" t="s">
        <v>13</v>
      </c>
      <c r="I73" t="s">
        <v>14</v>
      </c>
      <c r="K73" t="s">
        <v>13</v>
      </c>
      <c r="M73" t="s">
        <v>13</v>
      </c>
      <c r="O73" t="s">
        <v>13</v>
      </c>
      <c r="Q73" t="s">
        <v>13</v>
      </c>
      <c r="S73" t="s">
        <v>13</v>
      </c>
      <c r="U73" t="s">
        <v>13</v>
      </c>
      <c r="W73" t="s">
        <v>13</v>
      </c>
    </row>
    <row r="74" spans="2:24">
      <c r="B74">
        <v>2.5</v>
      </c>
      <c r="C74" s="1">
        <v>0.7</v>
      </c>
      <c r="E74" t="s">
        <v>13</v>
      </c>
      <c r="G74" t="s">
        <v>13</v>
      </c>
      <c r="I74" t="s">
        <v>14</v>
      </c>
      <c r="K74" t="s">
        <v>13</v>
      </c>
      <c r="M74" t="s">
        <v>13</v>
      </c>
      <c r="O74" t="s">
        <v>13</v>
      </c>
      <c r="Q74" t="s">
        <v>13</v>
      </c>
      <c r="S74" t="s">
        <v>13</v>
      </c>
      <c r="U74" t="s">
        <v>13</v>
      </c>
      <c r="W74" t="s">
        <v>13</v>
      </c>
    </row>
    <row r="76" spans="2:24">
      <c r="C76" s="4" t="s">
        <v>12</v>
      </c>
      <c r="D76" s="5"/>
      <c r="E76" s="5" t="s">
        <v>13</v>
      </c>
      <c r="F76" s="5"/>
      <c r="G76" s="5" t="s">
        <v>13</v>
      </c>
      <c r="H76" s="5"/>
      <c r="I76" s="5" t="s">
        <v>14</v>
      </c>
      <c r="J76" s="5"/>
      <c r="K76" s="5" t="s">
        <v>13</v>
      </c>
      <c r="L76" s="5"/>
      <c r="M76" s="5" t="s">
        <v>13</v>
      </c>
      <c r="N76" s="5"/>
      <c r="O76" s="5" t="s">
        <v>13</v>
      </c>
      <c r="P76" s="5"/>
      <c r="Q76" s="5" t="s">
        <v>13</v>
      </c>
      <c r="R76" s="5"/>
      <c r="S76" s="5" t="s">
        <v>13</v>
      </c>
      <c r="T76" s="5"/>
      <c r="U76" s="5" t="s">
        <v>13</v>
      </c>
      <c r="V76" s="5"/>
      <c r="W76" s="6" t="s">
        <v>13</v>
      </c>
    </row>
    <row r="77" spans="2:24">
      <c r="C77" s="4" t="s">
        <v>15</v>
      </c>
      <c r="D77" s="5"/>
      <c r="E77" s="5">
        <v>3.5</v>
      </c>
      <c r="F77" s="5"/>
      <c r="G77" s="5">
        <v>3.5</v>
      </c>
      <c r="H77" s="5"/>
      <c r="I77" s="5">
        <v>2.5</v>
      </c>
      <c r="J77" s="5"/>
      <c r="K77" s="5">
        <v>3.5</v>
      </c>
      <c r="L77" s="5"/>
      <c r="M77" s="5">
        <v>3.5</v>
      </c>
      <c r="N77" s="5"/>
      <c r="O77" s="5">
        <v>3.5</v>
      </c>
      <c r="P77" s="5"/>
      <c r="Q77" s="5">
        <v>3.5</v>
      </c>
      <c r="R77" s="5"/>
      <c r="S77" s="5">
        <v>3.5</v>
      </c>
      <c r="T77" s="5"/>
      <c r="U77" s="5">
        <v>3.5</v>
      </c>
      <c r="V77" s="5"/>
      <c r="W77" s="6">
        <v>3.5</v>
      </c>
    </row>
    <row r="78" spans="2:24">
      <c r="C78" s="4" t="s">
        <v>16</v>
      </c>
      <c r="D78" s="5"/>
      <c r="E78" s="5" t="s">
        <v>13</v>
      </c>
      <c r="F78" s="5"/>
      <c r="G78" s="5" t="s">
        <v>13</v>
      </c>
      <c r="H78" s="5"/>
      <c r="I78" s="5" t="s">
        <v>14</v>
      </c>
      <c r="J78" s="5"/>
      <c r="K78" s="5" t="s">
        <v>13</v>
      </c>
      <c r="L78" s="5"/>
      <c r="M78" s="5" t="s">
        <v>14</v>
      </c>
      <c r="N78" s="5"/>
      <c r="O78" s="5" t="s">
        <v>13</v>
      </c>
      <c r="P78" s="5"/>
      <c r="Q78" s="5" t="s">
        <v>13</v>
      </c>
      <c r="R78" s="5"/>
      <c r="S78" s="5" t="s">
        <v>14</v>
      </c>
      <c r="T78" s="5"/>
      <c r="U78" s="5" t="s">
        <v>14</v>
      </c>
      <c r="V78" s="5"/>
      <c r="W78" s="6" t="s">
        <v>13</v>
      </c>
    </row>
    <row r="79" spans="2:24">
      <c r="C79" s="4" t="s">
        <v>17</v>
      </c>
      <c r="D79" s="5"/>
      <c r="E79" s="5">
        <v>-290</v>
      </c>
      <c r="F79" s="5"/>
      <c r="G79" s="5">
        <v>-275</v>
      </c>
      <c r="H79" s="5"/>
      <c r="I79" s="5">
        <v>-105</v>
      </c>
      <c r="J79" s="5"/>
      <c r="K79" s="5">
        <v>-280</v>
      </c>
      <c r="L79" s="5"/>
      <c r="M79" s="5">
        <v>-235</v>
      </c>
      <c r="N79" s="5"/>
      <c r="O79" s="5">
        <v>-265</v>
      </c>
      <c r="P79" s="5"/>
      <c r="Q79" s="5">
        <v>-160</v>
      </c>
      <c r="R79" s="5"/>
      <c r="S79" s="5">
        <v>-260</v>
      </c>
      <c r="T79" s="5"/>
      <c r="U79" s="5">
        <v>-175</v>
      </c>
      <c r="V79" s="5"/>
      <c r="W79" s="6">
        <v>-475</v>
      </c>
    </row>
    <row r="81" spans="2:24">
      <c r="C81" s="4" t="s">
        <v>18</v>
      </c>
      <c r="D81" s="5"/>
      <c r="E81" s="5">
        <v>-1</v>
      </c>
      <c r="F81" s="5"/>
      <c r="G81" s="5">
        <v>-1</v>
      </c>
      <c r="H81" s="5"/>
      <c r="I81" s="5">
        <v>-1</v>
      </c>
      <c r="J81" s="5"/>
      <c r="K81" s="5">
        <v>-1</v>
      </c>
      <c r="L81" s="5"/>
      <c r="M81" s="5">
        <v>-1</v>
      </c>
      <c r="N81" s="5"/>
      <c r="O81" s="5">
        <v>-1</v>
      </c>
      <c r="P81" s="5"/>
      <c r="Q81" s="5">
        <v>-1</v>
      </c>
      <c r="R81" s="5"/>
      <c r="S81" s="5">
        <v>-1</v>
      </c>
      <c r="T81" s="5"/>
      <c r="U81" s="5">
        <v>-1</v>
      </c>
      <c r="V81" s="5"/>
      <c r="W81" s="6">
        <v>-1</v>
      </c>
      <c r="X81" s="8">
        <f>SUM(E81:W81)</f>
        <v>-10</v>
      </c>
    </row>
    <row r="82" spans="2:24">
      <c r="C82" s="4" t="s">
        <v>19</v>
      </c>
      <c r="D82" s="5"/>
      <c r="E82" s="5">
        <f>IF(E79&gt;0,ROUND(ABS(E81)*(E79/100),2),ROUND(E81/(E79/100),2))</f>
        <v>0.34</v>
      </c>
      <c r="F82" s="5"/>
      <c r="G82" s="5">
        <f>IF(G79&gt;0,ROUND(ABS(G81)*(G79/100),2),ROUND(G81/(G79/100),2))</f>
        <v>0.36</v>
      </c>
      <c r="H82" s="5"/>
      <c r="I82" s="5">
        <f>IF(I79&gt;0,ROUND(ABS(I81)*(I79/100),2),ROUND(I81/(I79/100),2))</f>
        <v>0.95</v>
      </c>
      <c r="J82" s="5"/>
      <c r="K82" s="5">
        <f>IF(K79&gt;0,ROUND(ABS(K81)*(K79/100),2),ROUND(K81/(K79/100),2))</f>
        <v>0.36</v>
      </c>
      <c r="L82" s="5"/>
      <c r="M82" s="5">
        <f>IF(M79&gt;0,ROUND(ABS(M81)*(M79/100),2),ROUND(M81/(M79/100),2))</f>
        <v>0.43</v>
      </c>
      <c r="N82" s="5"/>
      <c r="O82" s="5">
        <f>IF(O79&gt;0,ROUND(ABS(O81)*(O79/100),2),ROUND(O81/(O79/100),2))</f>
        <v>0.38</v>
      </c>
      <c r="P82" s="5"/>
      <c r="Q82" s="5">
        <f>IF(Q79&gt;0,ROUND(ABS(Q81)*(Q79/100),2),ROUND(Q81/(Q79/100),2))</f>
        <v>0.63</v>
      </c>
      <c r="R82" s="5"/>
      <c r="S82" s="5">
        <f>IF(S79&gt;0,ROUND(ABS(S81)*(S79/100),2),ROUND(S81/(S79/100),2))</f>
        <v>0.38</v>
      </c>
      <c r="T82" s="5"/>
      <c r="U82" s="5">
        <f>IF(U79&gt;0,ROUND(ABS(U81)*(U79/100),2),ROUND(U81/(U79/100),2))</f>
        <v>0.56999999999999995</v>
      </c>
      <c r="V82" s="5"/>
      <c r="W82" s="5">
        <f>IF(W79&gt;0,ROUND(ABS(W81)*(W79/100),2),ROUND(W81/(W79/100),2))</f>
        <v>0.21</v>
      </c>
      <c r="X82" s="8">
        <f>SUM(E82:W82)</f>
        <v>4.6099999999999994</v>
      </c>
    </row>
    <row r="83" spans="2:24" ht="15.75" thickBot="1">
      <c r="C83" s="4" t="s">
        <v>20</v>
      </c>
      <c r="D83" s="5"/>
      <c r="E83" s="5">
        <f>IF(E78=E76,-E81+E82,0)</f>
        <v>1.34</v>
      </c>
      <c r="F83" s="5"/>
      <c r="G83" s="5">
        <f>IF(G78=G76,-G81+G82,0)</f>
        <v>1.3599999999999999</v>
      </c>
      <c r="H83" s="5"/>
      <c r="I83" s="5">
        <f>IF(I78=I76,-I81+I82,0)</f>
        <v>1.95</v>
      </c>
      <c r="J83" s="5"/>
      <c r="K83" s="5">
        <f>IF(K78=K76,-K81+K82,0)</f>
        <v>1.3599999999999999</v>
      </c>
      <c r="L83" s="5"/>
      <c r="M83" s="5">
        <f>IF(M78=M76,-M81+M82,0)</f>
        <v>0</v>
      </c>
      <c r="N83" s="5"/>
      <c r="O83" s="5">
        <f>IF(O78=O76,-O81+O82,0)</f>
        <v>1.38</v>
      </c>
      <c r="P83" s="5"/>
      <c r="Q83" s="5">
        <f>IF(Q78=Q76,-Q81+Q82,0)</f>
        <v>1.63</v>
      </c>
      <c r="R83" s="5"/>
      <c r="S83" s="5">
        <f>IF(S78=S76,-S81+S82,0)</f>
        <v>0</v>
      </c>
      <c r="T83" s="5"/>
      <c r="U83" s="5">
        <f>IF(U78=U76,-U81+U82,0)</f>
        <v>0</v>
      </c>
      <c r="V83" s="5"/>
      <c r="W83" s="6">
        <f>IF(W78=W76,-W81+W82,0)</f>
        <v>1.21</v>
      </c>
      <c r="X83" s="9">
        <f>SUM(E83:W83)</f>
        <v>10.23</v>
      </c>
    </row>
    <row r="84" spans="2:24" ht="16.5" thickTop="1" thickBot="1">
      <c r="X84" s="7">
        <f>X81+X83</f>
        <v>0.23000000000000043</v>
      </c>
    </row>
    <row r="85" spans="2:24" ht="15.75" thickBot="1">
      <c r="V85" s="13" t="s">
        <v>21</v>
      </c>
      <c r="W85" s="13"/>
      <c r="X85" s="11">
        <f>X68+X84</f>
        <v>1.3200000000000003</v>
      </c>
    </row>
    <row r="86" spans="2:24" ht="24">
      <c r="E86" s="12" t="s">
        <v>68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spans="2:24">
      <c r="E87" t="s">
        <v>69</v>
      </c>
      <c r="G87" t="s">
        <v>70</v>
      </c>
      <c r="I87" t="s">
        <v>71</v>
      </c>
      <c r="K87" t="s">
        <v>72</v>
      </c>
      <c r="M87" t="s">
        <v>73</v>
      </c>
      <c r="O87" t="s">
        <v>74</v>
      </c>
      <c r="Q87" t="s">
        <v>75</v>
      </c>
      <c r="S87" t="s">
        <v>76</v>
      </c>
      <c r="U87" t="s">
        <v>77</v>
      </c>
      <c r="W87" t="s">
        <v>78</v>
      </c>
    </row>
    <row r="88" spans="2:24">
      <c r="B88">
        <v>3.5</v>
      </c>
      <c r="C88" s="1">
        <v>0.8</v>
      </c>
      <c r="E88" t="s">
        <v>13</v>
      </c>
      <c r="G88" t="s">
        <v>14</v>
      </c>
      <c r="I88" t="s">
        <v>13</v>
      </c>
      <c r="K88" t="s">
        <v>13</v>
      </c>
      <c r="M88" t="s">
        <v>13</v>
      </c>
      <c r="O88" t="s">
        <v>13</v>
      </c>
      <c r="Q88" t="s">
        <v>14</v>
      </c>
      <c r="S88" t="s">
        <v>13</v>
      </c>
      <c r="U88" t="s">
        <v>13</v>
      </c>
      <c r="W88" t="s">
        <v>13</v>
      </c>
    </row>
    <row r="89" spans="2:24">
      <c r="B89">
        <v>2.5</v>
      </c>
      <c r="C89" s="1">
        <v>0.8</v>
      </c>
      <c r="E89" t="s">
        <v>13</v>
      </c>
      <c r="G89" t="s">
        <v>14</v>
      </c>
      <c r="I89" t="s">
        <v>13</v>
      </c>
      <c r="K89" t="s">
        <v>13</v>
      </c>
      <c r="M89" t="s">
        <v>13</v>
      </c>
      <c r="O89" t="s">
        <v>13</v>
      </c>
      <c r="Q89" t="s">
        <v>14</v>
      </c>
      <c r="S89" t="s">
        <v>13</v>
      </c>
      <c r="U89" t="s">
        <v>13</v>
      </c>
      <c r="W89" t="s">
        <v>13</v>
      </c>
    </row>
    <row r="90" spans="2:24">
      <c r="B90">
        <v>3.5</v>
      </c>
      <c r="C90" s="1">
        <v>0.7</v>
      </c>
      <c r="E90" t="s">
        <v>13</v>
      </c>
      <c r="G90" t="s">
        <v>14</v>
      </c>
      <c r="I90" t="s">
        <v>13</v>
      </c>
      <c r="K90" t="s">
        <v>13</v>
      </c>
      <c r="M90" t="s">
        <v>13</v>
      </c>
      <c r="O90" t="s">
        <v>13</v>
      </c>
      <c r="Q90" t="s">
        <v>14</v>
      </c>
      <c r="S90" t="s">
        <v>13</v>
      </c>
      <c r="U90" t="s">
        <v>13</v>
      </c>
      <c r="W90" t="s">
        <v>13</v>
      </c>
    </row>
    <row r="91" spans="2:24">
      <c r="B91">
        <v>2.5</v>
      </c>
      <c r="C91" s="1">
        <v>0.7</v>
      </c>
      <c r="E91" t="s">
        <v>13</v>
      </c>
      <c r="G91" t="s">
        <v>14</v>
      </c>
      <c r="I91" t="s">
        <v>13</v>
      </c>
      <c r="K91" t="s">
        <v>13</v>
      </c>
      <c r="M91" t="s">
        <v>13</v>
      </c>
      <c r="O91" t="s">
        <v>13</v>
      </c>
      <c r="Q91" t="s">
        <v>14</v>
      </c>
      <c r="S91" t="s">
        <v>13</v>
      </c>
      <c r="U91" t="s">
        <v>13</v>
      </c>
      <c r="W91" t="s">
        <v>13</v>
      </c>
    </row>
    <row r="93" spans="2:24">
      <c r="C93" s="4" t="s">
        <v>12</v>
      </c>
      <c r="D93" s="5"/>
      <c r="E93" s="5" t="s">
        <v>13</v>
      </c>
      <c r="F93" s="5"/>
      <c r="G93" s="5" t="s">
        <v>14</v>
      </c>
      <c r="H93" s="5"/>
      <c r="I93" s="5" t="s">
        <v>13</v>
      </c>
      <c r="J93" s="5"/>
      <c r="K93" s="5" t="s">
        <v>13</v>
      </c>
      <c r="L93" s="5"/>
      <c r="M93" s="5" t="s">
        <v>13</v>
      </c>
      <c r="N93" s="5"/>
      <c r="O93" s="5" t="s">
        <v>13</v>
      </c>
      <c r="P93" s="5"/>
      <c r="Q93" s="5" t="s">
        <v>14</v>
      </c>
      <c r="R93" s="5"/>
      <c r="S93" s="5" t="s">
        <v>13</v>
      </c>
      <c r="T93" s="5"/>
      <c r="U93" s="5" t="s">
        <v>13</v>
      </c>
      <c r="V93" s="5"/>
      <c r="W93" s="6" t="s">
        <v>13</v>
      </c>
    </row>
    <row r="94" spans="2:24">
      <c r="C94" s="4" t="s">
        <v>15</v>
      </c>
      <c r="D94" s="5"/>
      <c r="E94" s="5">
        <v>3.5</v>
      </c>
      <c r="F94" s="5"/>
      <c r="G94" s="5">
        <v>2.5</v>
      </c>
      <c r="H94" s="5"/>
      <c r="I94" s="5">
        <v>3.5</v>
      </c>
      <c r="J94" s="5"/>
      <c r="K94" s="5">
        <v>3.5</v>
      </c>
      <c r="L94" s="5"/>
      <c r="M94" s="5">
        <v>3.5</v>
      </c>
      <c r="N94" s="5"/>
      <c r="O94" s="5">
        <v>3.5</v>
      </c>
      <c r="P94" s="5"/>
      <c r="Q94" s="5">
        <v>3.5</v>
      </c>
      <c r="R94" s="5"/>
      <c r="S94" s="5">
        <v>3.5</v>
      </c>
      <c r="T94" s="5"/>
      <c r="U94" s="5">
        <v>3.5</v>
      </c>
      <c r="V94" s="5"/>
      <c r="W94" s="6">
        <v>3.5</v>
      </c>
    </row>
    <row r="95" spans="2:24">
      <c r="C95" s="4" t="s">
        <v>16</v>
      </c>
      <c r="D95" s="5"/>
      <c r="E95" s="5" t="s">
        <v>14</v>
      </c>
      <c r="F95" s="5"/>
      <c r="G95" s="5" t="s">
        <v>13</v>
      </c>
      <c r="H95" s="5"/>
      <c r="I95" s="5" t="s">
        <v>14</v>
      </c>
      <c r="J95" s="5"/>
      <c r="K95" s="5" t="s">
        <v>14</v>
      </c>
      <c r="L95" s="5"/>
      <c r="M95" s="5" t="s">
        <v>13</v>
      </c>
      <c r="N95" s="5"/>
      <c r="O95" s="5" t="s">
        <v>14</v>
      </c>
      <c r="P95" s="5"/>
      <c r="Q95" s="5" t="s">
        <v>14</v>
      </c>
      <c r="R95" s="5"/>
      <c r="S95" s="5" t="s">
        <v>13</v>
      </c>
      <c r="T95" s="5"/>
      <c r="U95" s="5" t="s">
        <v>14</v>
      </c>
      <c r="V95" s="5"/>
      <c r="W95" s="6" t="s">
        <v>13</v>
      </c>
    </row>
    <row r="96" spans="2:24">
      <c r="C96" s="4" t="s">
        <v>17</v>
      </c>
      <c r="D96" s="5"/>
      <c r="E96" s="5">
        <v>-190</v>
      </c>
      <c r="F96" s="5"/>
      <c r="G96" s="5">
        <v>115</v>
      </c>
      <c r="H96" s="5"/>
      <c r="I96" s="5">
        <v>-350</v>
      </c>
      <c r="J96" s="5"/>
      <c r="K96" s="5">
        <v>-380</v>
      </c>
      <c r="L96" s="5"/>
      <c r="M96" s="5">
        <v>-210</v>
      </c>
      <c r="N96" s="5"/>
      <c r="O96" s="5">
        <v>-230</v>
      </c>
      <c r="P96" s="5"/>
      <c r="Q96" s="5">
        <v>-120</v>
      </c>
      <c r="R96" s="5"/>
      <c r="S96" s="5">
        <v>-270</v>
      </c>
      <c r="T96" s="5"/>
      <c r="U96" s="5">
        <v>-350</v>
      </c>
      <c r="V96" s="5"/>
      <c r="W96" s="6">
        <v>-145</v>
      </c>
    </row>
    <row r="98" spans="1:26">
      <c r="C98" s="4" t="s">
        <v>18</v>
      </c>
      <c r="D98" s="5"/>
      <c r="E98" s="5">
        <v>-1</v>
      </c>
      <c r="F98" s="5"/>
      <c r="G98" s="5">
        <v>-1</v>
      </c>
      <c r="H98" s="5"/>
      <c r="I98" s="5">
        <v>-1</v>
      </c>
      <c r="J98" s="5"/>
      <c r="K98" s="5">
        <v>-1</v>
      </c>
      <c r="L98" s="5"/>
      <c r="M98" s="5">
        <v>-1</v>
      </c>
      <c r="N98" s="5"/>
      <c r="O98" s="5">
        <v>-1</v>
      </c>
      <c r="P98" s="5"/>
      <c r="Q98" s="5">
        <v>-1</v>
      </c>
      <c r="R98" s="5"/>
      <c r="S98" s="5">
        <v>-1</v>
      </c>
      <c r="T98" s="5"/>
      <c r="U98" s="5">
        <v>-1</v>
      </c>
      <c r="V98" s="5"/>
      <c r="W98" s="6">
        <v>-1</v>
      </c>
      <c r="X98" s="8">
        <f>SUM(E98:W98)</f>
        <v>-10</v>
      </c>
    </row>
    <row r="99" spans="1:26">
      <c r="C99" s="4" t="s">
        <v>19</v>
      </c>
      <c r="D99" s="5"/>
      <c r="E99" s="5">
        <f>IF(E96&gt;0,ROUND(ABS(E98)*(E96/100),2),ROUND(E98/(E96/100),2))</f>
        <v>0.53</v>
      </c>
      <c r="F99" s="5"/>
      <c r="G99" s="5">
        <f>IF(G96&gt;0,ROUND(ABS(G98)*(G96/100),2),ROUND(G98/(G96/100),2))</f>
        <v>1.1499999999999999</v>
      </c>
      <c r="H99" s="5"/>
      <c r="I99" s="5">
        <f>IF(I96&gt;0,ROUND(ABS(I98)*(I96/100),2),ROUND(I98/(I96/100),2))</f>
        <v>0.28999999999999998</v>
      </c>
      <c r="J99" s="5"/>
      <c r="K99" s="5">
        <f>IF(K96&gt;0,ROUND(ABS(K98)*(K96/100),2),ROUND(K98/(K96/100),2))</f>
        <v>0.26</v>
      </c>
      <c r="L99" s="5"/>
      <c r="M99" s="5">
        <f>IF(M96&gt;0,ROUND(ABS(M98)*(M96/100),2),ROUND(M98/(M96/100),2))</f>
        <v>0.48</v>
      </c>
      <c r="N99" s="5"/>
      <c r="O99" s="5">
        <f>IF(O96&gt;0,ROUND(ABS(O98)*(O96/100),2),ROUND(O98/(O96/100),2))</f>
        <v>0.43</v>
      </c>
      <c r="P99" s="5"/>
      <c r="Q99" s="5">
        <f>IF(Q96&gt;0,ROUND(ABS(Q98)*(Q96/100),2),ROUND(Q98/(Q96/100),2))</f>
        <v>0.83</v>
      </c>
      <c r="R99" s="5"/>
      <c r="S99" s="5">
        <f>IF(S96&gt;0,ROUND(ABS(S98)*(S96/100),2),ROUND(S98/(S96/100),2))</f>
        <v>0.37</v>
      </c>
      <c r="T99" s="5"/>
      <c r="U99" s="5">
        <f>IF(U96&gt;0,ROUND(ABS(U98)*(U96/100),2),ROUND(U98/(U96/100),2))</f>
        <v>0.28999999999999998</v>
      </c>
      <c r="V99" s="5"/>
      <c r="W99" s="5">
        <f>IF(W96&gt;0,ROUND(ABS(W98)*(W96/100),2),ROUND(W98/(W96/100),2))</f>
        <v>0.69</v>
      </c>
      <c r="X99" s="8">
        <f>SUM(E99:W99)</f>
        <v>5.32</v>
      </c>
    </row>
    <row r="100" spans="1:26" ht="15.75" thickBot="1">
      <c r="C100" s="4" t="s">
        <v>20</v>
      </c>
      <c r="D100" s="5"/>
      <c r="E100" s="5">
        <f>IF(E95=E93,-E98+E99,0)</f>
        <v>0</v>
      </c>
      <c r="F100" s="5"/>
      <c r="G100" s="5">
        <f>IF(G95=G93,-G98+G99,0)</f>
        <v>0</v>
      </c>
      <c r="H100" s="5"/>
      <c r="I100" s="5">
        <f>IF(I95=I93,-I98+I99,0)</f>
        <v>0</v>
      </c>
      <c r="J100" s="5"/>
      <c r="K100" s="5">
        <f>IF(K95=K93,-K98+K99,0)</f>
        <v>0</v>
      </c>
      <c r="L100" s="5"/>
      <c r="M100" s="5">
        <f>IF(M95=M93,-M98+M99,0)</f>
        <v>1.48</v>
      </c>
      <c r="N100" s="5"/>
      <c r="O100" s="5">
        <f>IF(O95=O93,-O98+O99,0)</f>
        <v>0</v>
      </c>
      <c r="P100" s="5"/>
      <c r="Q100" s="5">
        <f>IF(Q95=Q93,-Q98+Q99,0)</f>
        <v>1.83</v>
      </c>
      <c r="R100" s="5"/>
      <c r="S100" s="5">
        <f>IF(S95=S93,-S98+S99,0)</f>
        <v>1.37</v>
      </c>
      <c r="T100" s="5"/>
      <c r="U100" s="5">
        <f>IF(U95=U93,-U98+U99,0)</f>
        <v>0</v>
      </c>
      <c r="V100" s="5"/>
      <c r="W100" s="6">
        <f>IF(W95=W93,-W98+W99,0)</f>
        <v>1.69</v>
      </c>
      <c r="X100" s="9">
        <f>SUM(E100:W100)</f>
        <v>6.3699999999999992</v>
      </c>
    </row>
    <row r="101" spans="1:26" ht="16.5" thickTop="1" thickBot="1">
      <c r="X101" s="7">
        <f>X98+X100</f>
        <v>-3.6300000000000008</v>
      </c>
    </row>
    <row r="102" spans="1:26" ht="15.75" thickBot="1">
      <c r="V102" s="13" t="s">
        <v>21</v>
      </c>
      <c r="W102" s="13"/>
      <c r="X102" s="11">
        <f>X85+X101</f>
        <v>-2.3100000000000005</v>
      </c>
    </row>
    <row r="103" spans="1:26" ht="24">
      <c r="E103" s="12" t="s">
        <v>79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 spans="1:26">
      <c r="A104" t="s">
        <v>80</v>
      </c>
      <c r="E104" t="s">
        <v>81</v>
      </c>
      <c r="G104" t="s">
        <v>82</v>
      </c>
      <c r="I104" t="s">
        <v>83</v>
      </c>
      <c r="K104" t="s">
        <v>84</v>
      </c>
      <c r="M104" t="s">
        <v>85</v>
      </c>
      <c r="O104" t="s">
        <v>86</v>
      </c>
      <c r="Q104" t="s">
        <v>87</v>
      </c>
      <c r="S104" t="s">
        <v>88</v>
      </c>
      <c r="U104" t="s">
        <v>89</v>
      </c>
      <c r="W104" t="s">
        <v>90</v>
      </c>
    </row>
    <row r="105" spans="1:26">
      <c r="A105" t="s">
        <v>91</v>
      </c>
      <c r="B105">
        <v>3.5</v>
      </c>
      <c r="C105" s="1">
        <v>0.8</v>
      </c>
      <c r="E105" t="s">
        <v>13</v>
      </c>
      <c r="G105" t="s">
        <v>13</v>
      </c>
      <c r="I105" t="s">
        <v>13</v>
      </c>
      <c r="K105" t="s">
        <v>13</v>
      </c>
      <c r="M105" t="s">
        <v>13</v>
      </c>
      <c r="O105" t="s">
        <v>13</v>
      </c>
      <c r="Q105" t="s">
        <v>13</v>
      </c>
      <c r="S105" t="s">
        <v>13</v>
      </c>
      <c r="U105" t="s">
        <v>13</v>
      </c>
      <c r="W105" t="s">
        <v>13</v>
      </c>
      <c r="Y105" s="14" t="s">
        <v>92</v>
      </c>
      <c r="Z105" s="14"/>
    </row>
    <row r="106" spans="1:26">
      <c r="A106" t="s">
        <v>91</v>
      </c>
      <c r="B106">
        <v>2.5</v>
      </c>
      <c r="C106" s="1">
        <v>0.8</v>
      </c>
      <c r="E106" t="s">
        <v>13</v>
      </c>
      <c r="G106" t="s">
        <v>13</v>
      </c>
      <c r="I106" t="s">
        <v>13</v>
      </c>
      <c r="K106" t="s">
        <v>13</v>
      </c>
      <c r="M106" t="s">
        <v>13</v>
      </c>
      <c r="O106" t="s">
        <v>13</v>
      </c>
      <c r="Q106" t="s">
        <v>13</v>
      </c>
      <c r="S106" t="s">
        <v>13</v>
      </c>
      <c r="U106" t="s">
        <v>13</v>
      </c>
      <c r="W106" t="s">
        <v>13</v>
      </c>
      <c r="Y106" s="14"/>
      <c r="Z106" s="14"/>
    </row>
    <row r="107" spans="1:26">
      <c r="A107" t="s">
        <v>91</v>
      </c>
      <c r="B107">
        <v>3.5</v>
      </c>
      <c r="C107" s="1">
        <v>0.7</v>
      </c>
      <c r="E107" t="s">
        <v>13</v>
      </c>
      <c r="G107" t="s">
        <v>13</v>
      </c>
      <c r="I107" t="s">
        <v>13</v>
      </c>
      <c r="K107" t="s">
        <v>13</v>
      </c>
      <c r="M107" t="s">
        <v>13</v>
      </c>
      <c r="O107" t="s">
        <v>13</v>
      </c>
      <c r="Q107" t="s">
        <v>13</v>
      </c>
      <c r="S107" t="s">
        <v>13</v>
      </c>
      <c r="U107" t="s">
        <v>13</v>
      </c>
      <c r="W107" t="s">
        <v>13</v>
      </c>
      <c r="Y107" s="14"/>
      <c r="Z107" s="14"/>
    </row>
    <row r="108" spans="1:26">
      <c r="A108" t="s">
        <v>91</v>
      </c>
      <c r="B108">
        <v>2.5</v>
      </c>
      <c r="C108" s="1">
        <v>0.7</v>
      </c>
      <c r="E108" t="s">
        <v>13</v>
      </c>
      <c r="G108" t="s">
        <v>13</v>
      </c>
      <c r="I108" t="s">
        <v>14</v>
      </c>
      <c r="K108" t="s">
        <v>13</v>
      </c>
      <c r="M108" t="s">
        <v>13</v>
      </c>
      <c r="O108" t="s">
        <v>14</v>
      </c>
      <c r="Q108" t="s">
        <v>14</v>
      </c>
      <c r="S108" t="s">
        <v>14</v>
      </c>
      <c r="U108" t="s">
        <v>13</v>
      </c>
      <c r="W108" t="s">
        <v>14</v>
      </c>
      <c r="Y108" s="14"/>
      <c r="Z108" s="14"/>
    </row>
    <row r="109" spans="1:26">
      <c r="A109" t="s">
        <v>93</v>
      </c>
      <c r="B109">
        <v>3.5</v>
      </c>
      <c r="E109" t="s">
        <v>14</v>
      </c>
      <c r="G109" t="s">
        <v>13</v>
      </c>
      <c r="I109" t="s">
        <v>13</v>
      </c>
      <c r="K109" t="s">
        <v>13</v>
      </c>
      <c r="M109" t="s">
        <v>13</v>
      </c>
      <c r="O109" t="s">
        <v>14</v>
      </c>
      <c r="Q109" t="s">
        <v>13</v>
      </c>
      <c r="S109" t="s">
        <v>13</v>
      </c>
      <c r="U109" t="s">
        <v>13</v>
      </c>
      <c r="W109" t="s">
        <v>13</v>
      </c>
      <c r="Y109" s="14"/>
      <c r="Z109" s="14"/>
    </row>
    <row r="110" spans="1:26">
      <c r="A110" t="s">
        <v>93</v>
      </c>
      <c r="B110">
        <v>2.5</v>
      </c>
      <c r="E110" t="s">
        <v>14</v>
      </c>
      <c r="G110" t="s">
        <v>14</v>
      </c>
      <c r="I110" t="s">
        <v>14</v>
      </c>
      <c r="K110" t="s">
        <v>14</v>
      </c>
      <c r="M110" t="s">
        <v>14</v>
      </c>
      <c r="O110" t="s">
        <v>14</v>
      </c>
      <c r="Q110" t="s">
        <v>14</v>
      </c>
      <c r="S110" t="s">
        <v>14</v>
      </c>
      <c r="U110" t="s">
        <v>14</v>
      </c>
      <c r="W110" t="s">
        <v>13</v>
      </c>
      <c r="Y110" s="14"/>
      <c r="Z110" s="14"/>
    </row>
    <row r="112" spans="1:26">
      <c r="C112" s="4" t="s">
        <v>12</v>
      </c>
      <c r="D112" s="5"/>
      <c r="E112" s="5" t="s">
        <v>13</v>
      </c>
      <c r="F112" s="5"/>
      <c r="G112" s="5" t="s">
        <v>13</v>
      </c>
      <c r="H112" s="5"/>
      <c r="I112" s="5" t="s">
        <v>14</v>
      </c>
      <c r="J112" s="5"/>
      <c r="K112" s="5" t="s">
        <v>13</v>
      </c>
      <c r="L112" s="5"/>
      <c r="M112" s="5" t="s">
        <v>13</v>
      </c>
      <c r="N112" s="5"/>
      <c r="O112" s="5" t="s">
        <v>14</v>
      </c>
      <c r="P112" s="5"/>
      <c r="Q112" s="5" t="s">
        <v>14</v>
      </c>
      <c r="R112" s="5"/>
      <c r="S112" s="5" t="s">
        <v>14</v>
      </c>
      <c r="T112" s="5"/>
      <c r="U112" s="5" t="s">
        <v>13</v>
      </c>
      <c r="V112" s="5"/>
      <c r="W112" s="6" t="s">
        <v>14</v>
      </c>
    </row>
    <row r="113" spans="1:24">
      <c r="C113" s="4" t="s">
        <v>15</v>
      </c>
      <c r="D113" s="5"/>
      <c r="E113" s="5">
        <v>3.5</v>
      </c>
      <c r="F113" s="5"/>
      <c r="G113" s="5">
        <v>3.5</v>
      </c>
      <c r="H113" s="5"/>
      <c r="I113" s="5">
        <v>2.5</v>
      </c>
      <c r="J113" s="5"/>
      <c r="K113" s="5">
        <v>3.5</v>
      </c>
      <c r="L113" s="5"/>
      <c r="M113" s="5">
        <v>3.5</v>
      </c>
      <c r="N113" s="5"/>
      <c r="O113" s="5">
        <v>2.5</v>
      </c>
      <c r="P113" s="5"/>
      <c r="Q113" s="5">
        <v>2.5</v>
      </c>
      <c r="R113" s="5"/>
      <c r="S113" s="5">
        <v>2.5</v>
      </c>
      <c r="T113" s="5"/>
      <c r="U113" s="5">
        <v>3.5</v>
      </c>
      <c r="V113" s="5"/>
      <c r="W113" s="6">
        <v>3.5</v>
      </c>
    </row>
    <row r="114" spans="1:24">
      <c r="C114" s="4" t="s">
        <v>16</v>
      </c>
      <c r="D114" s="5"/>
      <c r="E114" s="5" t="s">
        <v>13</v>
      </c>
      <c r="F114" s="5"/>
      <c r="G114" s="5" t="s">
        <v>13</v>
      </c>
      <c r="H114" s="5"/>
      <c r="I114" s="5" t="s">
        <v>14</v>
      </c>
      <c r="J114" s="5"/>
      <c r="K114" s="5" t="s">
        <v>13</v>
      </c>
      <c r="L114" s="5"/>
      <c r="M114" s="5" t="s">
        <v>13</v>
      </c>
      <c r="N114" s="5"/>
      <c r="O114" s="5" t="s">
        <v>14</v>
      </c>
      <c r="P114" s="5"/>
      <c r="Q114" s="5" t="s">
        <v>14</v>
      </c>
      <c r="R114" s="5"/>
      <c r="S114" s="5" t="s">
        <v>14</v>
      </c>
      <c r="T114" s="5"/>
      <c r="U114" s="5"/>
      <c r="V114" s="5"/>
      <c r="W114" s="6"/>
    </row>
    <row r="115" spans="1:24">
      <c r="C115" s="4" t="s">
        <v>17</v>
      </c>
      <c r="D115" s="5"/>
      <c r="E115" s="5">
        <v>-255</v>
      </c>
      <c r="F115" s="5"/>
      <c r="G115" s="5">
        <v>-375</v>
      </c>
      <c r="H115" s="5"/>
      <c r="I115" s="5">
        <v>-145</v>
      </c>
      <c r="J115" s="5"/>
      <c r="K115" s="5">
        <v>-400</v>
      </c>
      <c r="L115" s="5"/>
      <c r="M115" s="5">
        <v>-175</v>
      </c>
      <c r="N115" s="5"/>
      <c r="O115" s="5">
        <v>120</v>
      </c>
      <c r="P115" s="5"/>
      <c r="Q115" s="5">
        <v>-220</v>
      </c>
      <c r="R115" s="5"/>
      <c r="S115" s="5">
        <v>110</v>
      </c>
      <c r="T115" s="5"/>
      <c r="U115" s="5">
        <v>-255</v>
      </c>
      <c r="V115" s="5"/>
      <c r="W115" s="6">
        <v>-250</v>
      </c>
    </row>
    <row r="117" spans="1:24">
      <c r="C117" s="4" t="s">
        <v>18</v>
      </c>
      <c r="D117" s="5"/>
      <c r="E117" s="5">
        <v>-1</v>
      </c>
      <c r="F117" s="5"/>
      <c r="G117" s="5">
        <v>-1</v>
      </c>
      <c r="H117" s="5"/>
      <c r="I117" s="5">
        <v>-1</v>
      </c>
      <c r="J117" s="5"/>
      <c r="K117" s="5">
        <v>-1</v>
      </c>
      <c r="L117" s="5"/>
      <c r="M117" s="5">
        <v>-1</v>
      </c>
      <c r="N117" s="5"/>
      <c r="O117" s="5">
        <v>-1</v>
      </c>
      <c r="P117" s="5"/>
      <c r="Q117" s="5">
        <v>-1</v>
      </c>
      <c r="R117" s="5"/>
      <c r="S117" s="5">
        <v>-1</v>
      </c>
      <c r="T117" s="5"/>
      <c r="U117" s="5">
        <v>-1</v>
      </c>
      <c r="V117" s="5"/>
      <c r="W117" s="6">
        <v>-1</v>
      </c>
      <c r="X117" s="8">
        <f>SUM(E117:W117)</f>
        <v>-10</v>
      </c>
    </row>
    <row r="118" spans="1:24">
      <c r="C118" s="4" t="s">
        <v>19</v>
      </c>
      <c r="D118" s="5"/>
      <c r="E118" s="5">
        <f>IF(E115&gt;0,ROUND(ABS(E117)*(E115/100),2),ROUND(E117/(E115/100),2))</f>
        <v>0.39</v>
      </c>
      <c r="F118" s="5"/>
      <c r="G118" s="5">
        <f>IF(G115&gt;0,ROUND(ABS(G117)*(G115/100),2),ROUND(G117/(G115/100),2))</f>
        <v>0.27</v>
      </c>
      <c r="H118" s="5"/>
      <c r="I118" s="5">
        <f>IF(I115&gt;0,ROUND(ABS(I117)*(I115/100),2),ROUND(I117/(I115/100),2))</f>
        <v>0.69</v>
      </c>
      <c r="J118" s="5"/>
      <c r="K118" s="5">
        <f>IF(K115&gt;0,ROUND(ABS(K117)*(K115/100),2),ROUND(K117/(K115/100),2))</f>
        <v>0.25</v>
      </c>
      <c r="L118" s="5"/>
      <c r="M118" s="5">
        <f>IF(M115&gt;0,ROUND(ABS(M117)*(M115/100),2),ROUND(M117/(M115/100),2))</f>
        <v>0.56999999999999995</v>
      </c>
      <c r="N118" s="5"/>
      <c r="O118" s="5">
        <f>IF(O115&gt;0,ROUND(ABS(O117)*(O115/100),2),ROUND(O117/(O115/100),2))</f>
        <v>1.2</v>
      </c>
      <c r="P118" s="5"/>
      <c r="Q118" s="5">
        <f>IF(Q115&gt;0,ROUND(ABS(Q117)*(Q115/100),2),ROUND(Q117/(Q115/100),2))</f>
        <v>0.45</v>
      </c>
      <c r="R118" s="5"/>
      <c r="S118" s="5">
        <f>IF(S115&gt;0,ROUND(ABS(S117)*(S115/100),2),ROUND(S117/(S115/100),2))</f>
        <v>1.1000000000000001</v>
      </c>
      <c r="T118" s="5"/>
      <c r="U118" s="5">
        <f>IF(U115&gt;0,ROUND(ABS(U117)*(U115/100),2),ROUND(U117/(U115/100),2))</f>
        <v>0.39</v>
      </c>
      <c r="V118" s="5"/>
      <c r="W118" s="5">
        <f>IF(W115&gt;0,ROUND(ABS(W117)*(W115/100),2),ROUND(W117/(W115/100),2))</f>
        <v>0.4</v>
      </c>
      <c r="X118" s="8">
        <f>SUM(E118:W118)</f>
        <v>5.71</v>
      </c>
    </row>
    <row r="119" spans="1:24" ht="15.75" thickBot="1">
      <c r="C119" s="4" t="s">
        <v>20</v>
      </c>
      <c r="D119" s="5"/>
      <c r="E119" s="5">
        <f>IF(E114=E112,-E117+E118,0)</f>
        <v>1.3900000000000001</v>
      </c>
      <c r="F119" s="5"/>
      <c r="G119" s="5">
        <f>IF(G114=G112,-G117+G118,0)</f>
        <v>1.27</v>
      </c>
      <c r="H119" s="5"/>
      <c r="I119" s="5">
        <f>IF(I114=I112,-I117+I118,0)</f>
        <v>1.69</v>
      </c>
      <c r="J119" s="5"/>
      <c r="K119" s="5">
        <f>IF(K114=K112,-K117+K118,0)</f>
        <v>1.25</v>
      </c>
      <c r="L119" s="5"/>
      <c r="M119" s="5">
        <f>IF(M114=M112,-M117+M118,0)</f>
        <v>1.5699999999999998</v>
      </c>
      <c r="N119" s="5"/>
      <c r="O119" s="5">
        <f>IF(O114=O112,-O117+O118,0)</f>
        <v>2.2000000000000002</v>
      </c>
      <c r="P119" s="5"/>
      <c r="Q119" s="5">
        <f>IF(Q114=Q112,-Q117+Q118,0)</f>
        <v>1.45</v>
      </c>
      <c r="R119" s="5"/>
      <c r="S119" s="5">
        <f>IF(S114=S112,-S117+S118,0)</f>
        <v>2.1</v>
      </c>
      <c r="T119" s="5"/>
      <c r="U119" s="5">
        <f>IF(U114=U112,-U117+U118,0)</f>
        <v>0</v>
      </c>
      <c r="V119" s="5"/>
      <c r="W119" s="6">
        <f>IF(W114=W112,-W117+W118,0)</f>
        <v>0</v>
      </c>
      <c r="X119" s="9">
        <f>SUM(E119:W119)</f>
        <v>12.92</v>
      </c>
    </row>
    <row r="120" spans="1:24" ht="16.5" thickTop="1" thickBot="1">
      <c r="X120" s="7">
        <f>X117+X119</f>
        <v>2.92</v>
      </c>
    </row>
    <row r="121" spans="1:24">
      <c r="V121" s="13" t="s">
        <v>21</v>
      </c>
      <c r="W121" s="13"/>
      <c r="X121" s="11">
        <f>X102+X120</f>
        <v>0.60999999999999943</v>
      </c>
    </row>
    <row r="122" spans="1:24" ht="24">
      <c r="E122" s="12" t="s">
        <v>94</v>
      </c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 spans="1:24">
      <c r="A123" t="s">
        <v>80</v>
      </c>
      <c r="E123" t="s">
        <v>95</v>
      </c>
      <c r="G123" t="s">
        <v>96</v>
      </c>
      <c r="I123" t="s">
        <v>97</v>
      </c>
      <c r="K123" t="s">
        <v>98</v>
      </c>
      <c r="M123" t="s">
        <v>99</v>
      </c>
      <c r="O123" t="s">
        <v>100</v>
      </c>
      <c r="Q123" t="s">
        <v>101</v>
      </c>
      <c r="S123" t="s">
        <v>102</v>
      </c>
      <c r="U123" t="s">
        <v>103</v>
      </c>
      <c r="W123" t="s">
        <v>104</v>
      </c>
    </row>
    <row r="124" spans="1:24">
      <c r="A124" t="s">
        <v>91</v>
      </c>
      <c r="B124">
        <v>3.5</v>
      </c>
      <c r="C124" s="1">
        <v>0.8</v>
      </c>
      <c r="E124" t="s">
        <v>13</v>
      </c>
      <c r="G124" t="s">
        <v>13</v>
      </c>
      <c r="I124" t="s">
        <v>13</v>
      </c>
      <c r="K124" t="s">
        <v>13</v>
      </c>
      <c r="M124" t="s">
        <v>13</v>
      </c>
      <c r="O124" t="s">
        <v>13</v>
      </c>
      <c r="Q124" t="s">
        <v>13</v>
      </c>
      <c r="S124" t="s">
        <v>13</v>
      </c>
      <c r="U124" t="s">
        <v>13</v>
      </c>
      <c r="W124" t="s">
        <v>13</v>
      </c>
    </row>
    <row r="125" spans="1:24">
      <c r="A125" t="s">
        <v>91</v>
      </c>
      <c r="B125">
        <v>2.5</v>
      </c>
      <c r="C125" s="1">
        <v>0.8</v>
      </c>
      <c r="E125" s="13" t="s">
        <v>105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spans="1:24">
      <c r="A126" t="s">
        <v>91</v>
      </c>
      <c r="B126">
        <v>3.5</v>
      </c>
      <c r="C126" s="1">
        <v>0.7</v>
      </c>
      <c r="E126" t="s">
        <v>13</v>
      </c>
      <c r="G126" t="s">
        <v>13</v>
      </c>
      <c r="I126" t="s">
        <v>13</v>
      </c>
      <c r="K126" t="s">
        <v>13</v>
      </c>
      <c r="M126" t="s">
        <v>13</v>
      </c>
      <c r="O126" t="s">
        <v>13</v>
      </c>
      <c r="Q126" t="s">
        <v>13</v>
      </c>
      <c r="S126" t="s">
        <v>14</v>
      </c>
      <c r="U126" t="s">
        <v>13</v>
      </c>
      <c r="W126" t="s">
        <v>13</v>
      </c>
    </row>
    <row r="127" spans="1:24">
      <c r="A127" t="s">
        <v>91</v>
      </c>
      <c r="B127">
        <v>2.5</v>
      </c>
      <c r="C127" s="1">
        <v>0.7</v>
      </c>
      <c r="E127" s="13" t="s">
        <v>105</v>
      </c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spans="1:24">
      <c r="A128" t="s">
        <v>93</v>
      </c>
      <c r="B128">
        <v>3.5</v>
      </c>
      <c r="E128" t="s">
        <v>13</v>
      </c>
      <c r="G128" t="s">
        <v>13</v>
      </c>
      <c r="I128" t="s">
        <v>13</v>
      </c>
      <c r="K128" t="s">
        <v>14</v>
      </c>
      <c r="M128" t="s">
        <v>13</v>
      </c>
      <c r="O128" t="s">
        <v>13</v>
      </c>
      <c r="Q128" t="s">
        <v>13</v>
      </c>
      <c r="S128" t="s">
        <v>13</v>
      </c>
      <c r="U128" t="s">
        <v>13</v>
      </c>
      <c r="W128" t="s">
        <v>13</v>
      </c>
    </row>
    <row r="129" spans="1:24">
      <c r="A129" t="s">
        <v>93</v>
      </c>
      <c r="B129">
        <v>2.5</v>
      </c>
      <c r="E129" t="s">
        <v>14</v>
      </c>
      <c r="G129" t="s">
        <v>14</v>
      </c>
      <c r="I129" t="s">
        <v>14</v>
      </c>
      <c r="K129" t="s">
        <v>14</v>
      </c>
      <c r="M129" t="s">
        <v>14</v>
      </c>
      <c r="O129" t="s">
        <v>14</v>
      </c>
      <c r="Q129" t="s">
        <v>14</v>
      </c>
      <c r="S129" t="s">
        <v>14</v>
      </c>
      <c r="U129" t="s">
        <v>13</v>
      </c>
      <c r="W129" t="s">
        <v>14</v>
      </c>
    </row>
    <row r="131" spans="1:24">
      <c r="C131" s="4" t="s">
        <v>12</v>
      </c>
      <c r="D131" s="5"/>
      <c r="E131" s="5" t="s">
        <v>14</v>
      </c>
      <c r="F131" s="5"/>
      <c r="G131" s="5" t="s">
        <v>13</v>
      </c>
      <c r="H131" s="5"/>
      <c r="I131" s="5" t="s">
        <v>13</v>
      </c>
      <c r="J131" s="5"/>
      <c r="K131" s="5" t="s">
        <v>13</v>
      </c>
      <c r="L131" s="5"/>
      <c r="M131" s="5" t="s">
        <v>13</v>
      </c>
      <c r="N131" s="5"/>
      <c r="O131" s="5" t="s">
        <v>13</v>
      </c>
      <c r="P131" s="5"/>
      <c r="Q131" s="5" t="s">
        <v>13</v>
      </c>
      <c r="R131" s="5"/>
      <c r="S131" s="5" t="s">
        <v>13</v>
      </c>
      <c r="T131" s="5"/>
      <c r="U131" s="5" t="s">
        <v>14</v>
      </c>
      <c r="V131" s="5"/>
      <c r="W131" s="6" t="s">
        <v>13</v>
      </c>
    </row>
    <row r="132" spans="1:24">
      <c r="C132" s="4" t="s">
        <v>15</v>
      </c>
      <c r="D132" s="5"/>
      <c r="E132" s="5">
        <v>2.5</v>
      </c>
      <c r="F132" s="5"/>
      <c r="G132" s="5">
        <v>3.5</v>
      </c>
      <c r="H132" s="5"/>
      <c r="I132" s="5">
        <v>3.5</v>
      </c>
      <c r="J132" s="5"/>
      <c r="K132" s="5">
        <v>3.5</v>
      </c>
      <c r="L132" s="5"/>
      <c r="M132" s="5">
        <v>3.5</v>
      </c>
      <c r="N132" s="5"/>
      <c r="O132" s="5">
        <v>3.5</v>
      </c>
      <c r="P132" s="5"/>
      <c r="Q132" s="5">
        <v>3.5</v>
      </c>
      <c r="R132" s="5"/>
      <c r="S132" s="5">
        <v>3.5</v>
      </c>
      <c r="T132" s="5"/>
      <c r="U132" s="5">
        <v>2.5</v>
      </c>
      <c r="V132" s="5"/>
      <c r="W132" s="6">
        <v>3.5</v>
      </c>
    </row>
    <row r="133" spans="1:24">
      <c r="C133" s="4" t="s">
        <v>16</v>
      </c>
      <c r="D133" s="5"/>
      <c r="E133" s="5" t="s">
        <v>14</v>
      </c>
      <c r="F133" s="5"/>
      <c r="G133" s="5" t="s">
        <v>14</v>
      </c>
      <c r="H133" s="5"/>
      <c r="I133" s="5" t="s">
        <v>14</v>
      </c>
      <c r="J133" s="5"/>
      <c r="K133" s="5" t="s">
        <v>14</v>
      </c>
      <c r="L133" s="5"/>
      <c r="M133" s="5" t="s">
        <v>13</v>
      </c>
      <c r="N133" s="5"/>
      <c r="O133" s="5" t="s">
        <v>13</v>
      </c>
      <c r="P133" s="5"/>
      <c r="Q133" s="6" t="s">
        <v>13</v>
      </c>
      <c r="R133" s="5"/>
      <c r="S133" s="5" t="s">
        <v>13</v>
      </c>
      <c r="T133" s="5"/>
      <c r="U133" s="5" t="s">
        <v>13</v>
      </c>
      <c r="V133" s="5"/>
      <c r="W133" s="6" t="s">
        <v>13</v>
      </c>
    </row>
    <row r="134" spans="1:24">
      <c r="C134" s="4" t="s">
        <v>17</v>
      </c>
      <c r="D134" s="5"/>
      <c r="E134" s="5">
        <v>-130</v>
      </c>
      <c r="F134" s="5"/>
      <c r="G134" s="5">
        <v>-150</v>
      </c>
      <c r="H134" s="5"/>
      <c r="I134" s="5">
        <v>-340</v>
      </c>
      <c r="J134" s="5"/>
      <c r="K134" s="5">
        <v>-310</v>
      </c>
      <c r="L134" s="5"/>
      <c r="M134" s="5">
        <v>-285</v>
      </c>
      <c r="N134" s="5"/>
      <c r="O134" s="5">
        <v>-240</v>
      </c>
      <c r="P134" s="5"/>
      <c r="Q134" s="5">
        <v>-295</v>
      </c>
      <c r="R134" s="5"/>
      <c r="S134" s="5">
        <v>-275</v>
      </c>
      <c r="T134" s="5"/>
      <c r="U134" s="5">
        <v>135</v>
      </c>
      <c r="V134" s="5"/>
      <c r="W134" s="6">
        <v>-330</v>
      </c>
    </row>
    <row r="136" spans="1:24">
      <c r="C136" s="4" t="s">
        <v>18</v>
      </c>
      <c r="D136" s="5"/>
      <c r="E136" s="5">
        <v>-1</v>
      </c>
      <c r="F136" s="5"/>
      <c r="G136" s="5">
        <v>-1</v>
      </c>
      <c r="H136" s="5"/>
      <c r="I136" s="5">
        <v>-1</v>
      </c>
      <c r="J136" s="5"/>
      <c r="K136" s="5">
        <v>-1</v>
      </c>
      <c r="L136" s="5"/>
      <c r="M136" s="5">
        <v>-1</v>
      </c>
      <c r="N136" s="5"/>
      <c r="O136" s="5">
        <v>-1</v>
      </c>
      <c r="P136" s="5"/>
      <c r="Q136" s="5">
        <v>-1</v>
      </c>
      <c r="R136" s="5"/>
      <c r="S136" s="5">
        <v>-1</v>
      </c>
      <c r="T136" s="5"/>
      <c r="U136" s="5">
        <v>-1</v>
      </c>
      <c r="V136" s="5"/>
      <c r="W136" s="6">
        <v>-1</v>
      </c>
      <c r="X136" s="8">
        <f>SUM(E136:W136)</f>
        <v>-10</v>
      </c>
    </row>
    <row r="137" spans="1:24">
      <c r="C137" s="4" t="s">
        <v>19</v>
      </c>
      <c r="D137" s="5"/>
      <c r="E137" s="5">
        <v>0.76</v>
      </c>
      <c r="F137" s="5"/>
      <c r="G137" s="5">
        <f>IF(G134&gt;0,ROUND(ABS(G136)*(G134/100),2),ROUND(G136/(G134/100),2))</f>
        <v>0.67</v>
      </c>
      <c r="H137" s="5"/>
      <c r="I137" s="5">
        <f>IF(I134&gt;0,ROUND(ABS(I136)*(I134/100),2),ROUND(I136/(I134/100),2))</f>
        <v>0.28999999999999998</v>
      </c>
      <c r="J137" s="5"/>
      <c r="K137" s="5">
        <f>IF(K134&gt;0,ROUND(ABS(K136)*(K134/100),2),ROUND(K136/(K134/100),2))</f>
        <v>0.32</v>
      </c>
      <c r="L137" s="5"/>
      <c r="M137" s="5">
        <f>IF(M134&gt;0,ROUND(ABS(M136)*(M134/100),2),ROUND(M136/(M134/100),2))</f>
        <v>0.35</v>
      </c>
      <c r="N137" s="5"/>
      <c r="O137" s="5">
        <v>0.41</v>
      </c>
      <c r="P137" s="5"/>
      <c r="Q137" s="5">
        <v>0.33</v>
      </c>
      <c r="R137" s="5"/>
      <c r="S137" s="5">
        <f>IF(S134&gt;0,ROUND(ABS(S136)*(S134/100),2),ROUND(S136/(S134/100),2))</f>
        <v>0.36</v>
      </c>
      <c r="T137" s="5"/>
      <c r="U137" s="5">
        <f>IF(U134&gt;0,ROUND(ABS(U136)*(U134/100),2),ROUND(U136/(U134/100),2))</f>
        <v>1.35</v>
      </c>
      <c r="V137" s="5"/>
      <c r="W137" s="5">
        <f>IF(W134&gt;0,ROUND(ABS(W136)*(W134/100),2),ROUND(W136/(W134/100),2))</f>
        <v>0.3</v>
      </c>
      <c r="X137" s="8">
        <f>SUM(E137:W137)</f>
        <v>5.14</v>
      </c>
    </row>
    <row r="138" spans="1:24">
      <c r="C138" s="4" t="s">
        <v>20</v>
      </c>
      <c r="D138" s="5"/>
      <c r="E138" s="5">
        <f>IF(E133=E131,-E136+E137,0)</f>
        <v>1.76</v>
      </c>
      <c r="F138" s="5"/>
      <c r="G138" s="5">
        <f>IF(G133=G131,-G136+G137,0)</f>
        <v>0</v>
      </c>
      <c r="H138" s="5"/>
      <c r="I138" s="5">
        <f>IF(I133=I131,-I136+I137,0)</f>
        <v>0</v>
      </c>
      <c r="J138" s="5"/>
      <c r="K138" s="5">
        <f>IF(K133=K131,-K136+K137,0)</f>
        <v>0</v>
      </c>
      <c r="L138" s="5"/>
      <c r="M138" s="5">
        <f>IF(M133=M131,-M136+M137,0)</f>
        <v>1.35</v>
      </c>
      <c r="N138" s="5"/>
      <c r="O138" s="5">
        <f>IF(O133=O131,-O136+O137,0)</f>
        <v>1.41</v>
      </c>
      <c r="P138" s="5"/>
      <c r="Q138" s="5">
        <f>IF(Q133=Q131,-Q136+Q137,0)</f>
        <v>1.33</v>
      </c>
      <c r="R138" s="5"/>
      <c r="S138" s="5">
        <f>IF(S133=S131,-S136+S137,0)</f>
        <v>1.3599999999999999</v>
      </c>
      <c r="T138" s="5"/>
      <c r="U138" s="5">
        <f>IF(U133=U131,-U136+U137,0)</f>
        <v>0</v>
      </c>
      <c r="V138" s="5"/>
      <c r="W138" s="6">
        <f>IF(W133=W131,-W136+W137,0)</f>
        <v>1.3</v>
      </c>
      <c r="X138" s="9">
        <f>SUM(E138:W138)</f>
        <v>8.5100000000000016</v>
      </c>
    </row>
    <row r="139" spans="1:24">
      <c r="X139" s="7">
        <f>X136+X138</f>
        <v>-1.4899999999999984</v>
      </c>
    </row>
    <row r="140" spans="1:24">
      <c r="V140" s="13" t="s">
        <v>21</v>
      </c>
      <c r="W140" s="13"/>
      <c r="X140" s="11">
        <f>X121+X139</f>
        <v>-0.87999999999999901</v>
      </c>
    </row>
    <row r="141" spans="1:24" ht="24">
      <c r="E141" s="12" t="s">
        <v>106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 spans="1:24">
      <c r="A142" t="s">
        <v>80</v>
      </c>
      <c r="E142" t="s">
        <v>107</v>
      </c>
      <c r="G142" t="s">
        <v>108</v>
      </c>
      <c r="I142" t="s">
        <v>109</v>
      </c>
      <c r="K142" t="s">
        <v>110</v>
      </c>
      <c r="M142" t="s">
        <v>111</v>
      </c>
      <c r="O142" t="s">
        <v>112</v>
      </c>
      <c r="Q142" t="s">
        <v>113</v>
      </c>
      <c r="S142" t="s">
        <v>114</v>
      </c>
      <c r="U142" t="s">
        <v>115</v>
      </c>
      <c r="W142" t="s">
        <v>116</v>
      </c>
    </row>
    <row r="143" spans="1:24">
      <c r="A143" t="s">
        <v>91</v>
      </c>
      <c r="B143">
        <v>3.5</v>
      </c>
      <c r="C143" s="1">
        <v>0.8</v>
      </c>
      <c r="E143" t="s">
        <v>13</v>
      </c>
      <c r="G143" t="s">
        <v>13</v>
      </c>
      <c r="I143" t="s">
        <v>13</v>
      </c>
      <c r="K143" t="s">
        <v>13</v>
      </c>
      <c r="M143" t="s">
        <v>13</v>
      </c>
      <c r="O143" t="s">
        <v>13</v>
      </c>
      <c r="Q143" t="s">
        <v>13</v>
      </c>
      <c r="S143" t="s">
        <v>13</v>
      </c>
      <c r="U143" t="s">
        <v>13</v>
      </c>
      <c r="W143" t="s">
        <v>13</v>
      </c>
    </row>
    <row r="144" spans="1:24">
      <c r="A144" t="s">
        <v>91</v>
      </c>
      <c r="B144">
        <v>2.5</v>
      </c>
      <c r="C144" s="1">
        <v>0.8</v>
      </c>
      <c r="E144" t="s">
        <v>13</v>
      </c>
      <c r="G144" t="s">
        <v>13</v>
      </c>
      <c r="I144" t="s">
        <v>13</v>
      </c>
      <c r="K144" t="s">
        <v>13</v>
      </c>
      <c r="M144" t="s">
        <v>13</v>
      </c>
      <c r="O144" t="s">
        <v>13</v>
      </c>
      <c r="Q144" t="s">
        <v>13</v>
      </c>
      <c r="S144" t="s">
        <v>13</v>
      </c>
      <c r="U144" t="s">
        <v>13</v>
      </c>
      <c r="W144" t="s">
        <v>13</v>
      </c>
    </row>
    <row r="145" spans="1:24">
      <c r="A145" t="s">
        <v>91</v>
      </c>
      <c r="B145">
        <v>3.5</v>
      </c>
      <c r="C145" s="1">
        <v>0.7</v>
      </c>
      <c r="E145" t="s">
        <v>13</v>
      </c>
      <c r="G145" t="s">
        <v>13</v>
      </c>
      <c r="I145" t="s">
        <v>13</v>
      </c>
      <c r="K145" t="s">
        <v>13</v>
      </c>
      <c r="M145" t="s">
        <v>13</v>
      </c>
      <c r="O145" t="s">
        <v>13</v>
      </c>
      <c r="Q145" t="s">
        <v>13</v>
      </c>
      <c r="S145" t="s">
        <v>13</v>
      </c>
      <c r="U145" t="s">
        <v>13</v>
      </c>
      <c r="W145" t="s">
        <v>13</v>
      </c>
    </row>
    <row r="146" spans="1:24">
      <c r="A146" t="s">
        <v>91</v>
      </c>
      <c r="B146">
        <v>2.5</v>
      </c>
      <c r="C146" s="1">
        <v>0.7</v>
      </c>
      <c r="E146" t="s">
        <v>13</v>
      </c>
      <c r="G146" t="s">
        <v>13</v>
      </c>
      <c r="I146" t="s">
        <v>13</v>
      </c>
      <c r="K146" t="s">
        <v>13</v>
      </c>
      <c r="M146" t="s">
        <v>13</v>
      </c>
      <c r="O146" t="s">
        <v>13</v>
      </c>
      <c r="Q146" t="s">
        <v>13</v>
      </c>
      <c r="S146" t="s">
        <v>13</v>
      </c>
      <c r="U146" t="s">
        <v>13</v>
      </c>
      <c r="W146" t="s">
        <v>13</v>
      </c>
    </row>
    <row r="147" spans="1:24">
      <c r="A147" t="s">
        <v>93</v>
      </c>
      <c r="B147">
        <v>3.5</v>
      </c>
      <c r="E147" t="s">
        <v>13</v>
      </c>
      <c r="G147" t="s">
        <v>13</v>
      </c>
      <c r="I147" t="s">
        <v>13</v>
      </c>
      <c r="K147" t="s">
        <v>14</v>
      </c>
      <c r="M147" t="s">
        <v>13</v>
      </c>
      <c r="O147" t="s">
        <v>13</v>
      </c>
      <c r="Q147" t="s">
        <v>13</v>
      </c>
      <c r="S147" t="s">
        <v>13</v>
      </c>
      <c r="U147" t="s">
        <v>13</v>
      </c>
      <c r="W147" t="s">
        <v>13</v>
      </c>
    </row>
    <row r="148" spans="1:24">
      <c r="A148" t="s">
        <v>93</v>
      </c>
      <c r="B148">
        <v>2.5</v>
      </c>
      <c r="E148" t="s">
        <v>14</v>
      </c>
      <c r="G148" t="s">
        <v>13</v>
      </c>
      <c r="I148" t="s">
        <v>14</v>
      </c>
      <c r="K148" t="s">
        <v>14</v>
      </c>
      <c r="M148" t="s">
        <v>14</v>
      </c>
      <c r="O148" t="s">
        <v>14</v>
      </c>
      <c r="Q148" t="s">
        <v>14</v>
      </c>
      <c r="S148" t="s">
        <v>13</v>
      </c>
      <c r="U148" t="s">
        <v>14</v>
      </c>
      <c r="W148" t="s">
        <v>14</v>
      </c>
    </row>
    <row r="150" spans="1:24">
      <c r="C150" s="4" t="s">
        <v>12</v>
      </c>
      <c r="D150" s="5"/>
      <c r="E150" s="5" t="s">
        <v>14</v>
      </c>
      <c r="F150" s="5"/>
      <c r="G150" s="5" t="s">
        <v>13</v>
      </c>
      <c r="H150" s="5"/>
      <c r="I150" s="5" t="s">
        <v>14</v>
      </c>
      <c r="J150" s="5"/>
      <c r="K150" s="5" t="s">
        <v>14</v>
      </c>
      <c r="L150" s="5"/>
      <c r="M150" s="5" t="s">
        <v>14</v>
      </c>
      <c r="N150" s="5"/>
      <c r="O150" s="5" t="s">
        <v>14</v>
      </c>
      <c r="P150" s="5"/>
      <c r="Q150" s="5" t="s">
        <v>14</v>
      </c>
      <c r="R150" s="5"/>
      <c r="S150" s="5" t="s">
        <v>13</v>
      </c>
      <c r="T150" s="5"/>
      <c r="U150" s="5" t="s">
        <v>14</v>
      </c>
      <c r="V150" s="5"/>
      <c r="W150" s="6" t="s">
        <v>14</v>
      </c>
    </row>
    <row r="151" spans="1:24">
      <c r="C151" s="4" t="s">
        <v>15</v>
      </c>
      <c r="D151" s="5"/>
      <c r="E151" s="5">
        <v>2.5</v>
      </c>
      <c r="F151" s="5"/>
      <c r="G151" s="5">
        <v>3.5</v>
      </c>
      <c r="H151" s="5"/>
      <c r="I151" s="5">
        <v>2.5</v>
      </c>
      <c r="J151" s="5"/>
      <c r="K151" s="5">
        <v>2.5</v>
      </c>
      <c r="L151" s="5"/>
      <c r="M151" s="5">
        <v>2.5</v>
      </c>
      <c r="N151" s="5"/>
      <c r="O151" s="5">
        <v>2.5</v>
      </c>
      <c r="P151" s="5"/>
      <c r="Q151" s="5">
        <v>2.5</v>
      </c>
      <c r="R151" s="5"/>
      <c r="S151" s="5">
        <v>3.5</v>
      </c>
      <c r="T151" s="5"/>
      <c r="U151" s="5">
        <v>2.5</v>
      </c>
      <c r="V151" s="5"/>
      <c r="W151" s="6">
        <v>2.5</v>
      </c>
    </row>
    <row r="152" spans="1:24">
      <c r="C152" s="4" t="s">
        <v>16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6"/>
    </row>
    <row r="153" spans="1:24">
      <c r="C153" s="4" t="s">
        <v>17</v>
      </c>
      <c r="D153" s="5"/>
      <c r="E153" s="5">
        <v>-150</v>
      </c>
      <c r="F153" s="5"/>
      <c r="G153" s="5">
        <v>-310</v>
      </c>
      <c r="H153" s="5"/>
      <c r="I153" s="5">
        <v>-160</v>
      </c>
      <c r="J153" s="5"/>
      <c r="K153" s="5">
        <v>-135</v>
      </c>
      <c r="L153" s="5"/>
      <c r="M153" s="5">
        <v>-120</v>
      </c>
      <c r="N153" s="5"/>
      <c r="O153" s="5">
        <v>105</v>
      </c>
      <c r="P153" s="5"/>
      <c r="Q153" s="5">
        <v>100</v>
      </c>
      <c r="R153" s="5"/>
      <c r="S153" s="5">
        <v>-180</v>
      </c>
      <c r="T153" s="5"/>
      <c r="U153" s="5">
        <v>-120</v>
      </c>
      <c r="V153" s="5"/>
      <c r="W153" s="6">
        <v>-200</v>
      </c>
    </row>
    <row r="155" spans="1:24">
      <c r="C155" s="4" t="s">
        <v>18</v>
      </c>
      <c r="D155" s="5"/>
      <c r="E155" s="5">
        <v>-1</v>
      </c>
      <c r="F155" s="5"/>
      <c r="G155" s="5">
        <v>-1</v>
      </c>
      <c r="H155" s="5"/>
      <c r="I155" s="5">
        <v>-1</v>
      </c>
      <c r="J155" s="5"/>
      <c r="K155" s="5">
        <v>-1</v>
      </c>
      <c r="L155" s="5"/>
      <c r="M155" s="5">
        <v>-1</v>
      </c>
      <c r="N155" s="5"/>
      <c r="O155" s="5">
        <v>-1</v>
      </c>
      <c r="P155" s="5"/>
      <c r="Q155" s="5">
        <v>-1</v>
      </c>
      <c r="R155" s="5"/>
      <c r="S155" s="5">
        <v>-1</v>
      </c>
      <c r="T155" s="5"/>
      <c r="U155" s="5">
        <v>-1</v>
      </c>
      <c r="V155" s="5"/>
      <c r="W155" s="6">
        <v>-1</v>
      </c>
      <c r="X155" s="8">
        <f>SUM(E155:W155)</f>
        <v>-10</v>
      </c>
    </row>
    <row r="156" spans="1:24">
      <c r="C156" s="4" t="s">
        <v>19</v>
      </c>
      <c r="D156" s="5"/>
      <c r="E156" s="5">
        <f>IF(E153&gt;0,ROUND(ABS(E155)*(E153/100),2),ROUND(E155/(E153/100),2))</f>
        <v>0.67</v>
      </c>
      <c r="F156" s="5"/>
      <c r="G156" s="5">
        <f>IF(G153&gt;0,ROUND(ABS(G155)*(G153/100),2),ROUND(G155/(G153/100),2))</f>
        <v>0.32</v>
      </c>
      <c r="H156" s="5"/>
      <c r="I156" s="5">
        <f>IF(I153&gt;0,ROUND(ABS(I155)*(I153/100),2),ROUND(I155/(I153/100),2))</f>
        <v>0.63</v>
      </c>
      <c r="J156" s="5"/>
      <c r="K156" s="5">
        <f>IF(K153&gt;0,ROUND(ABS(K155)*(K153/100),2),ROUND(K155/(K153/100),2))</f>
        <v>0.74</v>
      </c>
      <c r="L156" s="5"/>
      <c r="M156" s="5">
        <f>IF(M153&gt;0,ROUND(ABS(M155)*(M153/100),2),ROUND(M155/(M153/100),2))</f>
        <v>0.83</v>
      </c>
      <c r="N156" s="5"/>
      <c r="O156" s="5">
        <f>IF(O153&gt;0,ROUND(ABS(O155)*(O153/100),2),ROUND(O155/(O153/100),2))</f>
        <v>1.05</v>
      </c>
      <c r="P156" s="5"/>
      <c r="Q156" s="5">
        <f>IF(Q153&gt;0,ROUND(ABS(Q155)*(Q153/100),2),ROUND(Q155/(Q153/100),2))</f>
        <v>1</v>
      </c>
      <c r="R156" s="5"/>
      <c r="S156" s="5">
        <f>IF(S153&gt;0,ROUND(ABS(S155)*(S153/100),2),ROUND(S155/(S153/100),2))</f>
        <v>0.56000000000000005</v>
      </c>
      <c r="T156" s="5"/>
      <c r="U156" s="5">
        <f>IF(U153&gt;0,ROUND(ABS(U155)*(U153/100),2),ROUND(U155/(U153/100),2))</f>
        <v>0.83</v>
      </c>
      <c r="V156" s="5"/>
      <c r="W156" s="5">
        <f>IF(W153&gt;0,ROUND(ABS(W155)*(W153/100),2),ROUND(W155/(W153/100),2))</f>
        <v>0.5</v>
      </c>
      <c r="X156" s="8">
        <f>SUM(E156:W156)</f>
        <v>7.1300000000000008</v>
      </c>
    </row>
    <row r="157" spans="1:24">
      <c r="C157" s="4" t="s">
        <v>20</v>
      </c>
      <c r="D157" s="5"/>
      <c r="E157" s="5">
        <f>IF(E152=E150,-E155+E156,0)</f>
        <v>0</v>
      </c>
      <c r="F157" s="5"/>
      <c r="G157" s="5">
        <f>IF(G152=G150,-G155+G156,0)</f>
        <v>0</v>
      </c>
      <c r="H157" s="5"/>
      <c r="I157" s="5">
        <f>IF(I152=I150,-I155+I156,0)</f>
        <v>0</v>
      </c>
      <c r="J157" s="5"/>
      <c r="K157" s="5">
        <f>IF(K152=K150,-K155+K156,0)</f>
        <v>0</v>
      </c>
      <c r="L157" s="5"/>
      <c r="M157" s="5">
        <f>IF(M152=M150,-M155+M156,0)</f>
        <v>0</v>
      </c>
      <c r="N157" s="5"/>
      <c r="O157" s="5">
        <f>IF(O152=O150,-O155+O156,0)</f>
        <v>0</v>
      </c>
      <c r="P157" s="5"/>
      <c r="Q157" s="5">
        <f>IF(Q152=Q150,-Q155+Q156,0)</f>
        <v>0</v>
      </c>
      <c r="R157" s="5"/>
      <c r="S157" s="5">
        <f>IF(S152=S150,-S155+S156,0)</f>
        <v>0</v>
      </c>
      <c r="T157" s="5"/>
      <c r="U157" s="5">
        <f>IF(U152=U150,-U155+U156,0)</f>
        <v>0</v>
      </c>
      <c r="V157" s="5"/>
      <c r="W157" s="6">
        <f>IF(W152=W150,-W155+W156,0)</f>
        <v>0</v>
      </c>
      <c r="X157" s="9">
        <f>SUM(E157:W157)</f>
        <v>0</v>
      </c>
    </row>
    <row r="158" spans="1:24">
      <c r="X158" s="7">
        <f>X155+X157</f>
        <v>-10</v>
      </c>
    </row>
    <row r="159" spans="1:24">
      <c r="V159" s="13" t="s">
        <v>21</v>
      </c>
      <c r="W159" s="13"/>
      <c r="X159" s="11">
        <f>X140+X158</f>
        <v>-10.879999999999999</v>
      </c>
    </row>
  </sheetData>
  <mergeCells count="21">
    <mergeCell ref="Y105:Z110"/>
    <mergeCell ref="E122:W122"/>
    <mergeCell ref="V140:W140"/>
    <mergeCell ref="E103:W103"/>
    <mergeCell ref="V121:W121"/>
    <mergeCell ref="E1:W1"/>
    <mergeCell ref="E18:W18"/>
    <mergeCell ref="E35:W35"/>
    <mergeCell ref="V17:W17"/>
    <mergeCell ref="V34:W34"/>
    <mergeCell ref="E69:W69"/>
    <mergeCell ref="V85:W85"/>
    <mergeCell ref="E52:W52"/>
    <mergeCell ref="V68:W68"/>
    <mergeCell ref="V51:W51"/>
    <mergeCell ref="E141:W141"/>
    <mergeCell ref="V159:W159"/>
    <mergeCell ref="E125:W125"/>
    <mergeCell ref="E127:W127"/>
    <mergeCell ref="E86:W86"/>
    <mergeCell ref="V102:W1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Clarke</dc:creator>
  <cp:keywords/>
  <dc:description/>
  <cp:lastModifiedBy/>
  <cp:revision/>
  <dcterms:created xsi:type="dcterms:W3CDTF">2025-10-04T23:54:36Z</dcterms:created>
  <dcterms:modified xsi:type="dcterms:W3CDTF">2025-12-02T02:37:10Z</dcterms:modified>
  <cp:category/>
  <cp:contentStatus/>
</cp:coreProperties>
</file>