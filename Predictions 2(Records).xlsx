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-Folder\Premier-League-Predictions\"/>
    </mc:Choice>
  </mc:AlternateContent>
  <xr:revisionPtr revIDLastSave="0" documentId="13_ncr:1_{6BD46430-99A3-4ED9-AFBA-36FD89D25E1E}" xr6:coauthVersionLast="47" xr6:coauthVersionMax="47" xr10:uidLastSave="{00000000-0000-0000-0000-000000000000}"/>
  <bookViews>
    <workbookView xWindow="-120" yWindow="-120" windowWidth="29040" windowHeight="15720" xr2:uid="{B97D2B54-78E2-448B-A9CF-77B7E3BC2EA1}"/>
  </bookViews>
  <sheets>
    <sheet name="Predictions 2(Records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0" i="1" l="1"/>
  <c r="R100" i="1"/>
  <c r="L100" i="1"/>
  <c r="V99" i="1"/>
  <c r="V100" i="1" s="1"/>
  <c r="T99" i="1"/>
  <c r="R99" i="1"/>
  <c r="P99" i="1"/>
  <c r="P100" i="1" s="1"/>
  <c r="N99" i="1"/>
  <c r="N100" i="1" s="1"/>
  <c r="L99" i="1"/>
  <c r="J99" i="1"/>
  <c r="J100" i="1" s="1"/>
  <c r="H99" i="1"/>
  <c r="H100" i="1" s="1"/>
  <c r="F99" i="1"/>
  <c r="F100" i="1" s="1"/>
  <c r="D99" i="1"/>
  <c r="D100" i="1" s="1"/>
  <c r="W98" i="1"/>
  <c r="T83" i="1"/>
  <c r="R83" i="1"/>
  <c r="L83" i="1"/>
  <c r="J83" i="1"/>
  <c r="H83" i="1"/>
  <c r="V82" i="1"/>
  <c r="V83" i="1" s="1"/>
  <c r="T82" i="1"/>
  <c r="R82" i="1"/>
  <c r="P82" i="1"/>
  <c r="P83" i="1" s="1"/>
  <c r="N82" i="1"/>
  <c r="N83" i="1" s="1"/>
  <c r="L82" i="1"/>
  <c r="J82" i="1"/>
  <c r="H82" i="1"/>
  <c r="F82" i="1"/>
  <c r="F83" i="1" s="1"/>
  <c r="D82" i="1"/>
  <c r="W81" i="1"/>
  <c r="W68" i="1"/>
  <c r="D66" i="1"/>
  <c r="V65" i="1"/>
  <c r="V66" i="1" s="1"/>
  <c r="T65" i="1"/>
  <c r="T66" i="1" s="1"/>
  <c r="R65" i="1"/>
  <c r="R66" i="1" s="1"/>
  <c r="P65" i="1"/>
  <c r="P66" i="1" s="1"/>
  <c r="N65" i="1"/>
  <c r="N66" i="1" s="1"/>
  <c r="L65" i="1"/>
  <c r="L66" i="1" s="1"/>
  <c r="J65" i="1"/>
  <c r="J66" i="1" s="1"/>
  <c r="H65" i="1"/>
  <c r="H66" i="1" s="1"/>
  <c r="F65" i="1"/>
  <c r="F66" i="1" s="1"/>
  <c r="D65" i="1"/>
  <c r="W64" i="1"/>
  <c r="F49" i="1"/>
  <c r="V48" i="1"/>
  <c r="T48" i="1"/>
  <c r="R48" i="1"/>
  <c r="R49" i="1" s="1"/>
  <c r="P48" i="1"/>
  <c r="N48" i="1"/>
  <c r="L48" i="1"/>
  <c r="J48" i="1"/>
  <c r="D48" i="1"/>
  <c r="F48" i="1"/>
  <c r="H48" i="1"/>
  <c r="V49" i="1"/>
  <c r="T49" i="1"/>
  <c r="P49" i="1"/>
  <c r="N49" i="1"/>
  <c r="L49" i="1"/>
  <c r="J49" i="1"/>
  <c r="H49" i="1"/>
  <c r="D49" i="1"/>
  <c r="W47" i="1"/>
  <c r="D32" i="1"/>
  <c r="F32" i="1"/>
  <c r="H32" i="1"/>
  <c r="J32" i="1"/>
  <c r="L32" i="1"/>
  <c r="N32" i="1"/>
  <c r="P32" i="1"/>
  <c r="R32" i="1"/>
  <c r="T32" i="1"/>
  <c r="V32" i="1"/>
  <c r="V15" i="1"/>
  <c r="T15" i="1"/>
  <c r="R15" i="1"/>
  <c r="P15" i="1"/>
  <c r="N15" i="1"/>
  <c r="L15" i="1"/>
  <c r="J15" i="1"/>
  <c r="H15" i="1"/>
  <c r="F15" i="1"/>
  <c r="D15" i="1"/>
  <c r="W14" i="1"/>
  <c r="W13" i="1"/>
  <c r="W31" i="1"/>
  <c r="W30" i="1"/>
  <c r="W100" i="1" l="1"/>
  <c r="W101" i="1" s="1"/>
  <c r="W102" i="1" s="1"/>
  <c r="W99" i="1"/>
  <c r="W82" i="1"/>
  <c r="D83" i="1"/>
  <c r="W83" i="1" s="1"/>
  <c r="W84" i="1" s="1"/>
  <c r="W85" i="1" s="1"/>
  <c r="W65" i="1"/>
  <c r="W66" i="1"/>
  <c r="W67" i="1" s="1"/>
  <c r="W48" i="1"/>
  <c r="W49" i="1"/>
  <c r="W50" i="1" s="1"/>
  <c r="W32" i="1"/>
  <c r="W33" i="1" s="1"/>
  <c r="W15" i="1"/>
  <c r="W16" i="1" s="1"/>
  <c r="W17" i="1" s="1"/>
  <c r="W34" i="1" l="1"/>
  <c r="W51" i="1"/>
</calcChain>
</file>

<file path=xl/sharedStrings.xml><?xml version="1.0" encoding="utf-8"?>
<sst xmlns="http://schemas.openxmlformats.org/spreadsheetml/2006/main" count="405" uniqueCount="69">
  <si>
    <t>Goals</t>
  </si>
  <si>
    <t>Match Week 6</t>
  </si>
  <si>
    <t>BRE vs MUN</t>
  </si>
  <si>
    <t>CHE vs BHA</t>
  </si>
  <si>
    <t>CRY vs LIV</t>
  </si>
  <si>
    <t>LEE vs SUN</t>
  </si>
  <si>
    <t>MCI vs BUR</t>
  </si>
  <si>
    <t>NOF vs SUN</t>
  </si>
  <si>
    <t>TOT vs WOL</t>
  </si>
  <si>
    <t>AVL vs FUL</t>
  </si>
  <si>
    <t>NCU vs ARS</t>
  </si>
  <si>
    <t>EVE vs WHU</t>
  </si>
  <si>
    <t>Prediction:</t>
  </si>
  <si>
    <t>Under</t>
  </si>
  <si>
    <t>Over</t>
  </si>
  <si>
    <t>Goal Total:</t>
  </si>
  <si>
    <t>Actual Result:</t>
  </si>
  <si>
    <t>Odds:</t>
  </si>
  <si>
    <t>Bet:</t>
  </si>
  <si>
    <t>Estimated Return:</t>
  </si>
  <si>
    <t>Total Payout:</t>
  </si>
  <si>
    <t>Match Week 7</t>
  </si>
  <si>
    <t>BOU vs FUL</t>
  </si>
  <si>
    <t>LEE vs TOT</t>
  </si>
  <si>
    <t>ARS vs WHU</t>
  </si>
  <si>
    <t>MUN vs SUN</t>
  </si>
  <si>
    <t>CHE vs LIV</t>
  </si>
  <si>
    <t>EVE vs CRY</t>
  </si>
  <si>
    <t>AVL vs BUR</t>
  </si>
  <si>
    <t>NCU vs NOF</t>
  </si>
  <si>
    <t>WOL vs BHA</t>
  </si>
  <si>
    <t>BRE vs MCI</t>
  </si>
  <si>
    <t>Did Not Place</t>
  </si>
  <si>
    <t>Match Week 8</t>
  </si>
  <si>
    <t>NOF vs CHE</t>
  </si>
  <si>
    <t>BHA vs NCU</t>
  </si>
  <si>
    <t>BUR vs LEE</t>
  </si>
  <si>
    <t>CRY vs BOU</t>
  </si>
  <si>
    <t>MCI vs EVE</t>
  </si>
  <si>
    <t>SUN vs WOL</t>
  </si>
  <si>
    <t>FUL vs ARS</t>
  </si>
  <si>
    <t>TOT vs AVL</t>
  </si>
  <si>
    <t>LIV vs MUN</t>
  </si>
  <si>
    <t>WHU vs BRE</t>
  </si>
  <si>
    <t>Current Profit/Loss:</t>
  </si>
  <si>
    <t>Forgot to Place</t>
  </si>
  <si>
    <t>Match Week 9</t>
  </si>
  <si>
    <t>LEE vs WHU</t>
  </si>
  <si>
    <t>CHE vs SUN</t>
  </si>
  <si>
    <t>NCU vs FUL</t>
  </si>
  <si>
    <t>MUN vs BHA</t>
  </si>
  <si>
    <t>BRE vs LIV</t>
  </si>
  <si>
    <t>BOU vs NOF</t>
  </si>
  <si>
    <t>ARS vs CRY</t>
  </si>
  <si>
    <t>AVL vs MCI</t>
  </si>
  <si>
    <t>WOL vs BUR</t>
  </si>
  <si>
    <t>EVE vs TOT</t>
  </si>
  <si>
    <t>Match Week 10</t>
  </si>
  <si>
    <t>BHA vs LEE</t>
  </si>
  <si>
    <t>CRY vs BRE</t>
  </si>
  <si>
    <t>FUL vs WOL</t>
  </si>
  <si>
    <t>BUR vs ARS</t>
  </si>
  <si>
    <t>NOF vs MUN</t>
  </si>
  <si>
    <t>TOT vs CHE</t>
  </si>
  <si>
    <t>LIV vs AVL</t>
  </si>
  <si>
    <t>WHU vs NCU</t>
  </si>
  <si>
    <t>MCI vs BOU</t>
  </si>
  <si>
    <t>SUN vs EVE</t>
  </si>
  <si>
    <t>Match Week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</si>
</sst>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9" fontId="0" fillId="0" borderId="0" xfId="0" applyNumberForma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0" xfId="0" applyBorder="1"/>
    <xf numFmtId="0" fontId="0" fillId="0" borderId="17" xfId="0" applyBorder="1"/>
    <xf numFmtId="0" fontId="0" fillId="0" borderId="19" xfId="0" applyBorder="1"/>
    <xf numFmtId="0" fontId="0" fillId="0" borderId="18" xfId="0" applyBorder="1"/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1253-1EAB-4104-BE4B-374BC158237A}">
  <dimension ref="A1:W102"/>
  <sheetViews>
    <sheetView tabSelected="1" topLeftCell="A60" zoomScale="80" zoomScaleNormal="80" workbookViewId="0">
      <selection activeCell="D87" sqref="D87"/>
    </sheetView>
  </sheetViews>
  <sheetFormatPr defaultRowHeight="15" x14ac:dyDescent="0.25"/>
  <sheetData>
    <row r="1" spans="1:23" ht="24" x14ac:dyDescent="0.4">
      <c r="A1" t="s">
        <v>0</v>
      </c>
      <c r="D1" s="12" t="s">
        <v>1</v>
      </c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</row>
    <row r="2" spans="1:23" x14ac:dyDescent="0.25">
      <c r="D2" t="s">
        <v>2</v>
      </c>
      <c r="F2" t="s">
        <v>3</v>
      </c>
      <c r="H2" t="s">
        <v>4</v>
      </c>
      <c r="J2" t="s">
        <v>5</v>
      </c>
      <c r="L2" t="s">
        <v>6</v>
      </c>
      <c r="N2" t="s">
        <v>7</v>
      </c>
      <c r="P2" t="s">
        <v>8</v>
      </c>
      <c r="R2" t="s">
        <v>9</v>
      </c>
      <c r="T2" t="s">
        <v>10</v>
      </c>
      <c r="V2" t="s">
        <v>11</v>
      </c>
    </row>
    <row r="3" spans="1:23" x14ac:dyDescent="0.25">
      <c r="A3">
        <v>3.5</v>
      </c>
      <c r="B3" s="1">
        <v>0.8</v>
      </c>
    </row>
    <row r="4" spans="1:23" x14ac:dyDescent="0.25">
      <c r="A4">
        <v>2.5</v>
      </c>
      <c r="B4" s="1">
        <v>0.8</v>
      </c>
    </row>
    <row r="5" spans="1:23" x14ac:dyDescent="0.25">
      <c r="A5">
        <v>3.5</v>
      </c>
      <c r="B5" s="1">
        <v>0.7</v>
      </c>
    </row>
    <row r="6" spans="1:23" x14ac:dyDescent="0.25">
      <c r="A6">
        <v>2.5</v>
      </c>
      <c r="B6" s="1">
        <v>0.7</v>
      </c>
    </row>
    <row r="8" spans="1:23" x14ac:dyDescent="0.25">
      <c r="B8" s="4" t="s">
        <v>12</v>
      </c>
      <c r="C8" s="5"/>
      <c r="D8" s="5" t="s">
        <v>13</v>
      </c>
      <c r="E8" s="5"/>
      <c r="F8" s="5" t="s">
        <v>13</v>
      </c>
      <c r="G8" s="5"/>
      <c r="H8" s="5" t="s">
        <v>14</v>
      </c>
      <c r="I8" s="5"/>
      <c r="J8" s="5" t="s">
        <v>13</v>
      </c>
      <c r="K8" s="5"/>
      <c r="L8" s="5" t="s">
        <v>14</v>
      </c>
      <c r="M8" s="5"/>
      <c r="N8" s="5" t="s">
        <v>13</v>
      </c>
      <c r="O8" s="5"/>
      <c r="P8" s="5" t="s">
        <v>13</v>
      </c>
      <c r="Q8" s="5"/>
      <c r="R8" s="5" t="s">
        <v>13</v>
      </c>
      <c r="S8" s="5"/>
      <c r="T8" s="5" t="s">
        <v>14</v>
      </c>
      <c r="U8" s="5"/>
      <c r="V8" s="6" t="s">
        <v>13</v>
      </c>
    </row>
    <row r="9" spans="1:23" x14ac:dyDescent="0.25">
      <c r="B9" s="4" t="s">
        <v>15</v>
      </c>
      <c r="C9" s="5"/>
      <c r="D9" s="5">
        <v>3.5</v>
      </c>
      <c r="E9" s="5"/>
      <c r="F9" s="5">
        <v>3.5</v>
      </c>
      <c r="G9" s="5"/>
      <c r="H9" s="5">
        <v>2.5</v>
      </c>
      <c r="I9" s="5"/>
      <c r="J9" s="5">
        <v>3.5</v>
      </c>
      <c r="K9" s="5"/>
      <c r="L9" s="5">
        <v>2.5</v>
      </c>
      <c r="M9" s="5"/>
      <c r="N9" s="5">
        <v>3.5</v>
      </c>
      <c r="O9" s="5"/>
      <c r="P9" s="5">
        <v>3.5</v>
      </c>
      <c r="Q9" s="5"/>
      <c r="R9" s="5">
        <v>3.5</v>
      </c>
      <c r="S9" s="5"/>
      <c r="T9" s="5">
        <v>2.5</v>
      </c>
      <c r="U9" s="5"/>
      <c r="V9" s="6">
        <v>3.5</v>
      </c>
    </row>
    <row r="10" spans="1:23" x14ac:dyDescent="0.25">
      <c r="B10" s="2" t="s">
        <v>16</v>
      </c>
      <c r="D10" t="s">
        <v>14</v>
      </c>
      <c r="F10" t="s">
        <v>14</v>
      </c>
      <c r="H10" t="s">
        <v>14</v>
      </c>
      <c r="J10" t="s">
        <v>14</v>
      </c>
      <c r="L10" t="s">
        <v>14</v>
      </c>
      <c r="N10" t="s">
        <v>13</v>
      </c>
      <c r="P10" t="s">
        <v>13</v>
      </c>
      <c r="R10" t="s">
        <v>14</v>
      </c>
      <c r="T10" t="s">
        <v>14</v>
      </c>
      <c r="V10" s="3" t="s">
        <v>13</v>
      </c>
    </row>
    <row r="11" spans="1:23" x14ac:dyDescent="0.25">
      <c r="B11" s="4" t="s">
        <v>17</v>
      </c>
      <c r="C11" s="5"/>
      <c r="D11" s="5">
        <v>-210</v>
      </c>
      <c r="E11" s="5"/>
      <c r="F11" s="5">
        <v>-185</v>
      </c>
      <c r="G11" s="5"/>
      <c r="H11" s="5">
        <v>-140</v>
      </c>
      <c r="I11" s="5"/>
      <c r="J11" s="5">
        <v>-310</v>
      </c>
      <c r="K11" s="5"/>
      <c r="L11" s="5">
        <v>-225</v>
      </c>
      <c r="M11" s="5"/>
      <c r="N11" s="5">
        <v>-320</v>
      </c>
      <c r="O11" s="5"/>
      <c r="P11" s="5">
        <v>-220</v>
      </c>
      <c r="Q11" s="5"/>
      <c r="R11" s="5">
        <v>-380</v>
      </c>
      <c r="S11" s="5"/>
      <c r="T11" s="5">
        <v>105</v>
      </c>
      <c r="U11" s="5"/>
      <c r="V11" s="6">
        <v>-330</v>
      </c>
    </row>
    <row r="13" spans="1:23" x14ac:dyDescent="0.25">
      <c r="B13" s="4" t="s">
        <v>18</v>
      </c>
      <c r="C13" s="5"/>
      <c r="D13" s="5">
        <v>-1</v>
      </c>
      <c r="E13" s="5"/>
      <c r="F13" s="5">
        <v>-1</v>
      </c>
      <c r="G13" s="5"/>
      <c r="H13" s="5">
        <v>-1</v>
      </c>
      <c r="I13" s="5"/>
      <c r="J13" s="5">
        <v>-1</v>
      </c>
      <c r="K13" s="5"/>
      <c r="L13" s="5">
        <v>-1</v>
      </c>
      <c r="M13" s="5"/>
      <c r="N13" s="5">
        <v>-1</v>
      </c>
      <c r="O13" s="5"/>
      <c r="P13" s="5">
        <v>-1</v>
      </c>
      <c r="Q13" s="5"/>
      <c r="R13" s="5">
        <v>-1</v>
      </c>
      <c r="S13" s="5"/>
      <c r="T13" s="5">
        <v>-1</v>
      </c>
      <c r="U13" s="5"/>
      <c r="V13" s="6">
        <v>-1</v>
      </c>
      <c r="W13" s="8">
        <f>SUM(D13:V13)</f>
        <v>-10</v>
      </c>
    </row>
    <row r="14" spans="1:23" x14ac:dyDescent="0.25">
      <c r="B14" s="4" t="s">
        <v>19</v>
      </c>
      <c r="C14" s="5"/>
      <c r="D14" s="5">
        <v>0.48</v>
      </c>
      <c r="E14" s="5"/>
      <c r="F14" s="5">
        <v>0.54</v>
      </c>
      <c r="G14" s="5"/>
      <c r="H14" s="5">
        <v>0.71</v>
      </c>
      <c r="I14" s="5"/>
      <c r="J14" s="5">
        <v>0.32</v>
      </c>
      <c r="K14" s="5"/>
      <c r="L14" s="5">
        <v>0.44</v>
      </c>
      <c r="M14" s="5"/>
      <c r="N14" s="5">
        <v>0.31</v>
      </c>
      <c r="O14" s="5"/>
      <c r="P14" s="5">
        <v>0.45</v>
      </c>
      <c r="Q14" s="5"/>
      <c r="R14" s="5">
        <v>0.38</v>
      </c>
      <c r="S14" s="5"/>
      <c r="T14" s="5">
        <v>1.05</v>
      </c>
      <c r="U14" s="5"/>
      <c r="V14" s="6">
        <v>0.3</v>
      </c>
      <c r="W14" s="8">
        <f>SUM(D14:V14)</f>
        <v>4.9799999999999995</v>
      </c>
    </row>
    <row r="15" spans="1:23" ht="15.75" thickBot="1" x14ac:dyDescent="0.3">
      <c r="B15" s="4" t="s">
        <v>20</v>
      </c>
      <c r="C15" s="5"/>
      <c r="D15" s="5">
        <f>IF(D10=D8,-D13+D14,0)</f>
        <v>0</v>
      </c>
      <c r="E15" s="5"/>
      <c r="F15" s="5">
        <f>IF(F10=F8,-F13+F14,0)</f>
        <v>0</v>
      </c>
      <c r="G15" s="5"/>
      <c r="H15" s="5">
        <f>IF(H10=H8,-H13+H14,0)</f>
        <v>1.71</v>
      </c>
      <c r="I15" s="5"/>
      <c r="J15" s="5">
        <f>IF(J10=J8,-J13+J14,0)</f>
        <v>0</v>
      </c>
      <c r="K15" s="5"/>
      <c r="L15" s="5">
        <f>IF(L10=L8,-L13+L14,0)</f>
        <v>1.44</v>
      </c>
      <c r="M15" s="5"/>
      <c r="N15" s="5">
        <f>IF(N10=N8,-N13+N14,0)</f>
        <v>1.31</v>
      </c>
      <c r="O15" s="5"/>
      <c r="P15" s="5">
        <f>IF(P10=P8,-P13+P14,0)</f>
        <v>1.45</v>
      </c>
      <c r="Q15" s="5"/>
      <c r="R15" s="5">
        <f>IF(R10=R8,-R13+R14,0)</f>
        <v>0</v>
      </c>
      <c r="S15" s="5"/>
      <c r="T15" s="5">
        <f>IF(T10=T8,-T13+T14,0)</f>
        <v>2.0499999999999998</v>
      </c>
      <c r="U15" s="5"/>
      <c r="V15" s="6">
        <f>IF(V10=V8,-V13+V14,0)</f>
        <v>1.3</v>
      </c>
      <c r="W15" s="9">
        <f>SUM(D15:V15)</f>
        <v>9.26</v>
      </c>
    </row>
    <row r="16" spans="1:23" ht="16.5" thickTop="1" thickBot="1" x14ac:dyDescent="0.3">
      <c r="W16" s="10">
        <f>W13+W15</f>
        <v>-0.74000000000000021</v>
      </c>
    </row>
    <row r="17" spans="1:23" ht="15.75" thickBot="1" x14ac:dyDescent="0.3">
      <c r="U17" s="13" t="s">
        <v>44</v>
      </c>
      <c r="V17" s="13"/>
      <c r="W17" s="11">
        <f>W16</f>
        <v>-0.74000000000000021</v>
      </c>
    </row>
    <row r="18" spans="1:23" ht="24" x14ac:dyDescent="0.4">
      <c r="D18" s="12" t="s">
        <v>21</v>
      </c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</row>
    <row r="19" spans="1:23" x14ac:dyDescent="0.25">
      <c r="D19" t="s">
        <v>22</v>
      </c>
      <c r="F19" t="s">
        <v>23</v>
      </c>
      <c r="H19" t="s">
        <v>24</v>
      </c>
      <c r="J19" t="s">
        <v>25</v>
      </c>
      <c r="L19" t="s">
        <v>26</v>
      </c>
      <c r="N19" t="s">
        <v>27</v>
      </c>
      <c r="P19" t="s">
        <v>28</v>
      </c>
      <c r="R19" t="s">
        <v>29</v>
      </c>
      <c r="T19" t="s">
        <v>30</v>
      </c>
      <c r="V19" t="s">
        <v>31</v>
      </c>
    </row>
    <row r="20" spans="1:23" x14ac:dyDescent="0.25">
      <c r="A20">
        <v>3.5</v>
      </c>
      <c r="B20" s="1">
        <v>0.8</v>
      </c>
      <c r="D20" t="s">
        <v>13</v>
      </c>
      <c r="F20" t="s">
        <v>13</v>
      </c>
      <c r="H20" t="s">
        <v>14</v>
      </c>
      <c r="J20" t="s">
        <v>13</v>
      </c>
      <c r="L20" t="s">
        <v>14</v>
      </c>
      <c r="N20" t="s">
        <v>13</v>
      </c>
      <c r="P20" t="s">
        <v>13</v>
      </c>
      <c r="R20" t="s">
        <v>13</v>
      </c>
      <c r="T20" t="s">
        <v>13</v>
      </c>
      <c r="V20" t="s">
        <v>14</v>
      </c>
    </row>
    <row r="21" spans="1:23" x14ac:dyDescent="0.25">
      <c r="A21">
        <v>2.5</v>
      </c>
      <c r="B21" s="1">
        <v>0.8</v>
      </c>
    </row>
    <row r="22" spans="1:23" x14ac:dyDescent="0.25">
      <c r="A22">
        <v>3.5</v>
      </c>
      <c r="B22" s="1">
        <v>0.7</v>
      </c>
    </row>
    <row r="23" spans="1:23" x14ac:dyDescent="0.25">
      <c r="A23">
        <v>2.5</v>
      </c>
      <c r="B23" s="1">
        <v>0.7</v>
      </c>
    </row>
    <row r="25" spans="1:23" x14ac:dyDescent="0.25">
      <c r="B25" s="4" t="s">
        <v>12</v>
      </c>
      <c r="C25" s="5"/>
      <c r="D25" s="5" t="s">
        <v>13</v>
      </c>
      <c r="E25" s="5"/>
      <c r="F25" s="5" t="s">
        <v>32</v>
      </c>
      <c r="G25" s="5"/>
      <c r="H25" s="5" t="s">
        <v>13</v>
      </c>
      <c r="I25" s="5"/>
      <c r="J25" s="5" t="s">
        <v>13</v>
      </c>
      <c r="K25" s="5"/>
      <c r="L25" s="5" t="s">
        <v>13</v>
      </c>
      <c r="M25" s="5"/>
      <c r="N25" s="5" t="s">
        <v>14</v>
      </c>
      <c r="O25" s="5"/>
      <c r="P25" s="5" t="s">
        <v>13</v>
      </c>
      <c r="Q25" s="5"/>
      <c r="R25" s="5" t="s">
        <v>14</v>
      </c>
      <c r="S25" s="5"/>
      <c r="T25" s="5" t="s">
        <v>13</v>
      </c>
      <c r="U25" s="5"/>
      <c r="V25" s="6" t="s">
        <v>14</v>
      </c>
    </row>
    <row r="26" spans="1:23" x14ac:dyDescent="0.25">
      <c r="B26" s="4" t="s">
        <v>15</v>
      </c>
      <c r="C26" s="5"/>
      <c r="D26" s="5">
        <v>3.5</v>
      </c>
      <c r="E26" s="5"/>
      <c r="F26" s="5">
        <v>3.5</v>
      </c>
      <c r="G26" s="5"/>
      <c r="H26" s="5">
        <v>3.5</v>
      </c>
      <c r="I26" s="5"/>
      <c r="J26" s="5">
        <v>3.5</v>
      </c>
      <c r="K26" s="5"/>
      <c r="L26" s="5">
        <v>3.5</v>
      </c>
      <c r="M26" s="5"/>
      <c r="N26" s="5">
        <v>2.5</v>
      </c>
      <c r="O26" s="5"/>
      <c r="P26" s="5">
        <v>3.5</v>
      </c>
      <c r="Q26" s="5"/>
      <c r="R26" s="5">
        <v>2.5</v>
      </c>
      <c r="S26" s="5"/>
      <c r="T26" s="5">
        <v>3.5</v>
      </c>
      <c r="U26" s="5"/>
      <c r="V26" s="6">
        <v>2.5</v>
      </c>
    </row>
    <row r="27" spans="1:23" x14ac:dyDescent="0.25">
      <c r="B27" s="4" t="s">
        <v>16</v>
      </c>
      <c r="C27" s="5"/>
      <c r="D27" s="5" t="s">
        <v>14</v>
      </c>
      <c r="E27" s="5"/>
      <c r="F27" s="5" t="s">
        <v>13</v>
      </c>
      <c r="G27" s="5"/>
      <c r="H27" s="5" t="s">
        <v>13</v>
      </c>
      <c r="I27" s="5"/>
      <c r="J27" s="5" t="s">
        <v>13</v>
      </c>
      <c r="K27" s="5"/>
      <c r="L27" s="5" t="s">
        <v>13</v>
      </c>
      <c r="M27" s="5"/>
      <c r="N27" s="5" t="s">
        <v>14</v>
      </c>
      <c r="O27" s="5"/>
      <c r="P27" s="5" t="s">
        <v>13</v>
      </c>
      <c r="Q27" s="5"/>
      <c r="R27" s="5" t="s">
        <v>13</v>
      </c>
      <c r="S27" s="5"/>
      <c r="T27" s="5" t="s">
        <v>13</v>
      </c>
      <c r="U27" s="5"/>
      <c r="V27" s="6" t="s">
        <v>13</v>
      </c>
    </row>
    <row r="28" spans="1:23" x14ac:dyDescent="0.25">
      <c r="B28" s="4" t="s">
        <v>17</v>
      </c>
      <c r="C28" s="5"/>
      <c r="D28" s="5">
        <v>-310</v>
      </c>
      <c r="E28" s="5"/>
      <c r="F28" s="5">
        <v>-295</v>
      </c>
      <c r="G28" s="5"/>
      <c r="H28" s="5">
        <v>-270</v>
      </c>
      <c r="I28" s="5"/>
      <c r="J28" s="5">
        <v>-290</v>
      </c>
      <c r="K28" s="5"/>
      <c r="L28" s="5">
        <v>-165</v>
      </c>
      <c r="M28" s="5"/>
      <c r="N28" s="5">
        <v>115</v>
      </c>
      <c r="O28" s="5"/>
      <c r="P28" s="5">
        <v>-300</v>
      </c>
      <c r="Q28" s="5"/>
      <c r="R28" s="5">
        <v>-155</v>
      </c>
      <c r="S28" s="5"/>
      <c r="T28" s="5">
        <v>-270</v>
      </c>
      <c r="U28" s="5"/>
      <c r="V28" s="6">
        <v>-175</v>
      </c>
    </row>
    <row r="30" spans="1:23" x14ac:dyDescent="0.25">
      <c r="B30" s="4" t="s">
        <v>18</v>
      </c>
      <c r="C30" s="5"/>
      <c r="D30" s="5">
        <v>-1</v>
      </c>
      <c r="E30" s="5"/>
      <c r="F30" s="5">
        <v>0</v>
      </c>
      <c r="G30" s="5"/>
      <c r="H30" s="5">
        <v>-1</v>
      </c>
      <c r="I30" s="5"/>
      <c r="J30" s="5">
        <v>-1</v>
      </c>
      <c r="K30" s="5"/>
      <c r="L30" s="5">
        <v>-1</v>
      </c>
      <c r="M30" s="5"/>
      <c r="N30" s="5">
        <v>-1</v>
      </c>
      <c r="O30" s="5"/>
      <c r="P30" s="5">
        <v>-1</v>
      </c>
      <c r="Q30" s="5"/>
      <c r="R30" s="5">
        <v>-1</v>
      </c>
      <c r="S30" s="5"/>
      <c r="T30" s="5">
        <v>-1</v>
      </c>
      <c r="U30" s="5"/>
      <c r="V30" s="6">
        <v>-1</v>
      </c>
      <c r="W30" s="8">
        <f>SUM(D30:V30)</f>
        <v>-9</v>
      </c>
    </row>
    <row r="31" spans="1:23" x14ac:dyDescent="0.25">
      <c r="B31" s="4" t="s">
        <v>19</v>
      </c>
      <c r="C31" s="5"/>
      <c r="D31" s="5">
        <v>0.3</v>
      </c>
      <c r="E31" s="5"/>
      <c r="F31" s="5">
        <v>0</v>
      </c>
      <c r="G31" s="5"/>
      <c r="H31" s="5">
        <v>0.37</v>
      </c>
      <c r="I31" s="5"/>
      <c r="J31" s="5">
        <v>0.34</v>
      </c>
      <c r="K31" s="5"/>
      <c r="L31" s="5">
        <v>0.6</v>
      </c>
      <c r="M31" s="5"/>
      <c r="N31" s="5">
        <v>1.1499999999999999</v>
      </c>
      <c r="O31" s="5"/>
      <c r="P31" s="5">
        <v>0.33</v>
      </c>
      <c r="Q31" s="5"/>
      <c r="R31" s="5">
        <v>0.64</v>
      </c>
      <c r="S31" s="5"/>
      <c r="T31" s="5">
        <v>0.37</v>
      </c>
      <c r="U31" s="5"/>
      <c r="V31" s="6">
        <v>0.56999999999999995</v>
      </c>
      <c r="W31" s="8">
        <f>SUM(D31:V31)</f>
        <v>4.67</v>
      </c>
    </row>
    <row r="32" spans="1:23" ht="15.75" thickBot="1" x14ac:dyDescent="0.3">
      <c r="B32" s="4" t="s">
        <v>20</v>
      </c>
      <c r="C32" s="5"/>
      <c r="D32" s="5">
        <f>IF(D27=D25,-D30+D31,0)</f>
        <v>0</v>
      </c>
      <c r="E32" s="5"/>
      <c r="F32" s="5">
        <f>IF(F27=F25,-F30+F31,0)</f>
        <v>0</v>
      </c>
      <c r="G32" s="5"/>
      <c r="H32" s="5">
        <f>IF(H27=H25,-H30+H31,0)</f>
        <v>1.37</v>
      </c>
      <c r="I32" s="5"/>
      <c r="J32" s="5">
        <f>IF(J27=J25,-J30+J31,0)</f>
        <v>1.34</v>
      </c>
      <c r="K32" s="5"/>
      <c r="L32" s="5">
        <f>IF(L27=L25,-L30+L31,0)</f>
        <v>1.6</v>
      </c>
      <c r="M32" s="5"/>
      <c r="N32" s="5">
        <f>IF(N27=N25,-N30+N31,0)</f>
        <v>2.15</v>
      </c>
      <c r="O32" s="5"/>
      <c r="P32" s="5">
        <f>IF(P27=P25,-P30+P31,0)</f>
        <v>1.33</v>
      </c>
      <c r="Q32" s="5"/>
      <c r="R32" s="5">
        <f>IF(R27=R25,-R30+R31,0)</f>
        <v>0</v>
      </c>
      <c r="S32" s="5"/>
      <c r="T32" s="5">
        <f>IF(T27=T25,-T30+T31,0)</f>
        <v>1.37</v>
      </c>
      <c r="U32" s="5"/>
      <c r="V32" s="6">
        <f>IF(V27=V25,-V30+V31,0)</f>
        <v>0</v>
      </c>
      <c r="W32" s="9">
        <f>SUM(D32:V32)</f>
        <v>9.16</v>
      </c>
    </row>
    <row r="33" spans="1:23" ht="16.5" thickTop="1" thickBot="1" x14ac:dyDescent="0.3">
      <c r="W33" s="7">
        <f>W30+W32</f>
        <v>0.16000000000000014</v>
      </c>
    </row>
    <row r="34" spans="1:23" ht="15.75" thickBot="1" x14ac:dyDescent="0.3">
      <c r="U34" s="13" t="s">
        <v>44</v>
      </c>
      <c r="V34" s="13"/>
      <c r="W34" s="11">
        <f>W33+W17</f>
        <v>-0.58000000000000007</v>
      </c>
    </row>
    <row r="35" spans="1:23" ht="24" x14ac:dyDescent="0.4">
      <c r="D35" s="12" t="s">
        <v>33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</row>
    <row r="36" spans="1:23" x14ac:dyDescent="0.25">
      <c r="D36" t="s">
        <v>34</v>
      </c>
      <c r="F36" t="s">
        <v>38</v>
      </c>
      <c r="H36" t="s">
        <v>36</v>
      </c>
      <c r="J36" t="s">
        <v>37</v>
      </c>
      <c r="L36" t="s">
        <v>35</v>
      </c>
      <c r="N36" t="s">
        <v>39</v>
      </c>
      <c r="P36" t="s">
        <v>40</v>
      </c>
      <c r="R36" t="s">
        <v>41</v>
      </c>
      <c r="T36" t="s">
        <v>42</v>
      </c>
      <c r="V36" t="s">
        <v>43</v>
      </c>
    </row>
    <row r="37" spans="1:23" x14ac:dyDescent="0.25">
      <c r="A37">
        <v>3.5</v>
      </c>
      <c r="B37" s="1">
        <v>0.8</v>
      </c>
      <c r="D37" t="s">
        <v>13</v>
      </c>
      <c r="F37" t="s">
        <v>13</v>
      </c>
      <c r="H37" t="s">
        <v>14</v>
      </c>
      <c r="J37" t="s">
        <v>13</v>
      </c>
      <c r="L37" t="s">
        <v>14</v>
      </c>
      <c r="N37" t="s">
        <v>14</v>
      </c>
      <c r="P37" t="s">
        <v>13</v>
      </c>
      <c r="R37" t="s">
        <v>13</v>
      </c>
      <c r="T37" t="s">
        <v>13</v>
      </c>
      <c r="V37" t="s">
        <v>14</v>
      </c>
    </row>
    <row r="38" spans="1:23" x14ac:dyDescent="0.25">
      <c r="A38">
        <v>2.5</v>
      </c>
      <c r="B38" s="1">
        <v>0.8</v>
      </c>
      <c r="D38" t="s">
        <v>13</v>
      </c>
      <c r="F38" t="s">
        <v>13</v>
      </c>
      <c r="H38" t="s">
        <v>14</v>
      </c>
      <c r="J38" t="s">
        <v>13</v>
      </c>
      <c r="L38" t="s">
        <v>14</v>
      </c>
      <c r="N38" t="s">
        <v>14</v>
      </c>
      <c r="P38" t="s">
        <v>13</v>
      </c>
      <c r="R38" t="s">
        <v>13</v>
      </c>
      <c r="T38" t="s">
        <v>13</v>
      </c>
      <c r="V38" t="s">
        <v>14</v>
      </c>
    </row>
    <row r="39" spans="1:23" x14ac:dyDescent="0.25">
      <c r="A39">
        <v>3.5</v>
      </c>
      <c r="B39" s="1">
        <v>0.7</v>
      </c>
      <c r="D39" t="s">
        <v>13</v>
      </c>
      <c r="F39" t="s">
        <v>13</v>
      </c>
      <c r="H39" t="s">
        <v>14</v>
      </c>
      <c r="J39" t="s">
        <v>13</v>
      </c>
      <c r="L39" t="s">
        <v>13</v>
      </c>
      <c r="N39" t="s">
        <v>14</v>
      </c>
      <c r="P39" t="s">
        <v>13</v>
      </c>
      <c r="R39" t="s">
        <v>13</v>
      </c>
      <c r="T39" t="s">
        <v>13</v>
      </c>
      <c r="V39" t="s">
        <v>13</v>
      </c>
    </row>
    <row r="40" spans="1:23" x14ac:dyDescent="0.25">
      <c r="A40">
        <v>2.5</v>
      </c>
      <c r="B40" s="1">
        <v>0.7</v>
      </c>
      <c r="D40" t="s">
        <v>13</v>
      </c>
      <c r="F40" t="s">
        <v>13</v>
      </c>
      <c r="H40" t="s">
        <v>13</v>
      </c>
      <c r="J40" t="s">
        <v>13</v>
      </c>
      <c r="L40" t="s">
        <v>14</v>
      </c>
      <c r="N40" t="s">
        <v>14</v>
      </c>
      <c r="P40" t="s">
        <v>13</v>
      </c>
      <c r="R40" t="s">
        <v>13</v>
      </c>
      <c r="T40" t="s">
        <v>13</v>
      </c>
      <c r="V40" t="s">
        <v>13</v>
      </c>
    </row>
    <row r="42" spans="1:23" x14ac:dyDescent="0.25">
      <c r="B42" s="4" t="s">
        <v>12</v>
      </c>
      <c r="C42" s="5"/>
      <c r="D42" s="5" t="s">
        <v>45</v>
      </c>
      <c r="E42" s="5"/>
      <c r="F42" s="5" t="s">
        <v>45</v>
      </c>
      <c r="G42" s="5"/>
      <c r="H42" s="5" t="s">
        <v>45</v>
      </c>
      <c r="I42" s="5"/>
      <c r="J42" s="5" t="s">
        <v>45</v>
      </c>
      <c r="K42" s="5"/>
      <c r="L42" s="5" t="s">
        <v>45</v>
      </c>
      <c r="M42" s="5"/>
      <c r="N42" s="5" t="s">
        <v>45</v>
      </c>
      <c r="O42" s="5"/>
      <c r="P42" s="5" t="s">
        <v>45</v>
      </c>
      <c r="Q42" s="5"/>
      <c r="R42" s="5" t="s">
        <v>13</v>
      </c>
      <c r="S42" s="5"/>
      <c r="T42" s="5" t="s">
        <v>13</v>
      </c>
      <c r="U42" s="5"/>
      <c r="V42" s="5" t="s">
        <v>13</v>
      </c>
    </row>
    <row r="43" spans="1:23" x14ac:dyDescent="0.25">
      <c r="B43" s="4" t="s">
        <v>15</v>
      </c>
      <c r="C43" s="5"/>
      <c r="D43" s="5">
        <v>3.5</v>
      </c>
      <c r="E43" s="5"/>
      <c r="F43" s="5">
        <v>3.5</v>
      </c>
      <c r="G43" s="5"/>
      <c r="H43" s="5">
        <v>3.5</v>
      </c>
      <c r="I43" s="5"/>
      <c r="J43" s="5">
        <v>2.5</v>
      </c>
      <c r="K43" s="5"/>
      <c r="L43" s="5">
        <v>3.5</v>
      </c>
      <c r="M43" s="5"/>
      <c r="N43" s="5">
        <v>2.5</v>
      </c>
      <c r="O43" s="5"/>
      <c r="P43" s="5">
        <v>3.5</v>
      </c>
      <c r="Q43" s="5"/>
      <c r="R43" s="5">
        <v>3.5</v>
      </c>
      <c r="S43" s="5"/>
      <c r="T43" s="5">
        <v>3.5</v>
      </c>
      <c r="U43" s="5"/>
      <c r="V43" s="6">
        <v>3.5</v>
      </c>
    </row>
    <row r="44" spans="1:23" x14ac:dyDescent="0.25">
      <c r="B44" s="4" t="s">
        <v>16</v>
      </c>
      <c r="C44" s="5"/>
      <c r="D44" s="5" t="s">
        <v>13</v>
      </c>
      <c r="E44" s="5"/>
      <c r="F44" s="5" t="s">
        <v>13</v>
      </c>
      <c r="G44" s="5"/>
      <c r="H44" s="5" t="s">
        <v>13</v>
      </c>
      <c r="I44" s="5"/>
      <c r="J44" s="5" t="s">
        <v>14</v>
      </c>
      <c r="K44" s="5"/>
      <c r="L44" s="5" t="s">
        <v>13</v>
      </c>
      <c r="M44" s="5"/>
      <c r="N44" s="5" t="s">
        <v>13</v>
      </c>
      <c r="O44" s="5"/>
      <c r="P44" s="5" t="s">
        <v>13</v>
      </c>
      <c r="Q44" s="5"/>
      <c r="R44" s="5" t="s">
        <v>13</v>
      </c>
      <c r="S44" s="5"/>
      <c r="T44" s="5" t="s">
        <v>13</v>
      </c>
      <c r="U44" s="5"/>
      <c r="V44" s="6" t="s">
        <v>13</v>
      </c>
    </row>
    <row r="45" spans="1:23" x14ac:dyDescent="0.25">
      <c r="B45" s="4" t="s">
        <v>17</v>
      </c>
      <c r="C45" s="5"/>
      <c r="D45" s="5">
        <v>-235</v>
      </c>
      <c r="E45" s="5"/>
      <c r="F45" s="5">
        <v>-240</v>
      </c>
      <c r="G45" s="5"/>
      <c r="H45" s="5">
        <v>115</v>
      </c>
      <c r="I45" s="5"/>
      <c r="J45" s="5">
        <v>-115</v>
      </c>
      <c r="K45" s="5"/>
      <c r="L45" s="5">
        <v>-125</v>
      </c>
      <c r="M45" s="5"/>
      <c r="N45" s="5">
        <v>135</v>
      </c>
      <c r="O45" s="5"/>
      <c r="P45" s="5">
        <v>-340</v>
      </c>
      <c r="Q45" s="5"/>
      <c r="R45" s="5">
        <v>-285</v>
      </c>
      <c r="S45" s="5"/>
      <c r="T45" s="5">
        <v>-145</v>
      </c>
      <c r="U45" s="5"/>
      <c r="V45" s="6">
        <v>-275</v>
      </c>
    </row>
    <row r="47" spans="1:23" x14ac:dyDescent="0.25">
      <c r="B47" s="4" t="s">
        <v>18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>
        <v>-1</v>
      </c>
      <c r="S47" s="5"/>
      <c r="T47" s="5">
        <v>-1</v>
      </c>
      <c r="U47" s="5"/>
      <c r="V47" s="6">
        <v>-1</v>
      </c>
      <c r="W47" s="8">
        <f>SUM(D47:V47)</f>
        <v>-3</v>
      </c>
    </row>
    <row r="48" spans="1:23" x14ac:dyDescent="0.25">
      <c r="B48" s="4" t="s">
        <v>19</v>
      </c>
      <c r="C48" s="5"/>
      <c r="D48" s="5">
        <f>IF(D45&gt;0,ROUND(ABS(D47)*(D45/100),2),ROUND(D47/(D45/100),2))</f>
        <v>0</v>
      </c>
      <c r="E48" s="5"/>
      <c r="F48" s="5">
        <f>IF(F45&gt;0,ROUND(ABS(F47)*(F45/100),2),ROUND(F47/(F45/100),2))</f>
        <v>0</v>
      </c>
      <c r="G48" s="5"/>
      <c r="H48" s="5">
        <f>IF(H45&gt;0,ROUND(ABS(H47)*(H45/100),2),ROUND(H47/(H45/100),2))</f>
        <v>0</v>
      </c>
      <c r="I48" s="5"/>
      <c r="J48" s="5">
        <f>IF(J45&gt;0,ROUND(ABS(J47)*(J45/100),2),ROUND(J47/(J45/100),2))</f>
        <v>0</v>
      </c>
      <c r="K48" s="5"/>
      <c r="L48" s="5">
        <f>IF(L45&gt;0,ROUND(ABS(L47)*(L45/100),2),ROUND(L47/(L45/100),2))</f>
        <v>0</v>
      </c>
      <c r="M48" s="5"/>
      <c r="N48" s="5">
        <f>IF(N45&gt;0,ROUND(ABS(N47)*(N45/100),2),ROUND(N47/(N45/100),2))</f>
        <v>0</v>
      </c>
      <c r="O48" s="5"/>
      <c r="P48" s="5">
        <f>IF(P45&gt;0,ROUND(ABS(P47)*(P45/100),2),ROUND(P47/(P45/100),2))</f>
        <v>0</v>
      </c>
      <c r="Q48" s="5"/>
      <c r="R48" s="5">
        <f>IF(R45&gt;0,ROUND(ABS(R47)*(R45/100),2),ROUND(R47/(R45/100),2))</f>
        <v>0.35</v>
      </c>
      <c r="S48" s="5"/>
      <c r="T48" s="5">
        <f>IF(T45&gt;0,ROUND(ABS(T47)*(T45/100),2),ROUND(T47/(T45/100),2))</f>
        <v>0.69</v>
      </c>
      <c r="U48" s="5"/>
      <c r="V48" s="5">
        <f>IF(V45&gt;0,ROUND(ABS(V47)*(V45/100),2),ROUND(V47/(V45/100),2))</f>
        <v>0.36</v>
      </c>
      <c r="W48" s="8">
        <f>SUM(D48:V48)</f>
        <v>1.4</v>
      </c>
    </row>
    <row r="49" spans="1:23" ht="15.75" thickBot="1" x14ac:dyDescent="0.3">
      <c r="B49" s="4" t="s">
        <v>20</v>
      </c>
      <c r="C49" s="5"/>
      <c r="D49" s="5">
        <f>IF(D44=D42,-D47+D48,0)</f>
        <v>0</v>
      </c>
      <c r="E49" s="5"/>
      <c r="F49" s="5">
        <f>IF(F44=F42,-F47+F48,0)</f>
        <v>0</v>
      </c>
      <c r="G49" s="5"/>
      <c r="H49" s="5">
        <f>IF(H44=H42,-H47+H48,0)</f>
        <v>0</v>
      </c>
      <c r="I49" s="5"/>
      <c r="J49" s="5">
        <f>IF(J44=J42,-J47+J48,0)</f>
        <v>0</v>
      </c>
      <c r="K49" s="5"/>
      <c r="L49" s="5">
        <f>IF(L44=L42,-L47+L48,0)</f>
        <v>0</v>
      </c>
      <c r="M49" s="5"/>
      <c r="N49" s="5">
        <f>IF(N44=N42,-N47+N48,0)</f>
        <v>0</v>
      </c>
      <c r="O49" s="5"/>
      <c r="P49" s="5">
        <f>IF(P44=P42,-P47+P48,0)</f>
        <v>0</v>
      </c>
      <c r="Q49" s="5"/>
      <c r="R49" s="5">
        <f>IF(R44=R42,-R47+R48,0)</f>
        <v>1.35</v>
      </c>
      <c r="S49" s="5"/>
      <c r="T49" s="5">
        <f>IF(T44=T42,-T47+T48,0)</f>
        <v>1.69</v>
      </c>
      <c r="U49" s="5"/>
      <c r="V49" s="6">
        <f>IF(V44=V42,-V47+V48,0)</f>
        <v>1.3599999999999999</v>
      </c>
      <c r="W49" s="9">
        <f>SUM(D49:V49)</f>
        <v>4.4000000000000004</v>
      </c>
    </row>
    <row r="50" spans="1:23" ht="16.5" thickTop="1" thickBot="1" x14ac:dyDescent="0.3">
      <c r="W50" s="7">
        <f>W47+W49</f>
        <v>1.4000000000000004</v>
      </c>
    </row>
    <row r="51" spans="1:23" ht="15.75" thickBot="1" x14ac:dyDescent="0.3">
      <c r="U51" s="13" t="s">
        <v>44</v>
      </c>
      <c r="V51" s="13"/>
      <c r="W51" s="11">
        <f>W34+W50</f>
        <v>0.82000000000000028</v>
      </c>
    </row>
    <row r="52" spans="1:23" ht="24" x14ac:dyDescent="0.4">
      <c r="D52" s="12" t="s">
        <v>46</v>
      </c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</row>
    <row r="53" spans="1:23" x14ac:dyDescent="0.25">
      <c r="D53" t="s">
        <v>47</v>
      </c>
      <c r="F53" t="s">
        <v>48</v>
      </c>
      <c r="H53" t="s">
        <v>49</v>
      </c>
      <c r="J53" t="s">
        <v>50</v>
      </c>
      <c r="L53" t="s">
        <v>51</v>
      </c>
      <c r="N53" t="s">
        <v>52</v>
      </c>
      <c r="P53" t="s">
        <v>53</v>
      </c>
      <c r="R53" t="s">
        <v>54</v>
      </c>
      <c r="T53" t="s">
        <v>55</v>
      </c>
      <c r="V53" t="s">
        <v>56</v>
      </c>
    </row>
    <row r="54" spans="1:23" x14ac:dyDescent="0.25">
      <c r="A54">
        <v>3.5</v>
      </c>
      <c r="B54" s="1">
        <v>0.8</v>
      </c>
      <c r="D54" t="s">
        <v>14</v>
      </c>
      <c r="F54" t="s">
        <v>13</v>
      </c>
      <c r="H54" t="s">
        <v>13</v>
      </c>
      <c r="J54" t="s">
        <v>13</v>
      </c>
      <c r="L54" t="s">
        <v>13</v>
      </c>
      <c r="N54" t="s">
        <v>13</v>
      </c>
      <c r="P54" t="s">
        <v>13</v>
      </c>
      <c r="R54" t="s">
        <v>13</v>
      </c>
      <c r="T54" t="s">
        <v>13</v>
      </c>
      <c r="V54" t="s">
        <v>13</v>
      </c>
    </row>
    <row r="55" spans="1:23" x14ac:dyDescent="0.25">
      <c r="A55">
        <v>2.5</v>
      </c>
      <c r="B55" s="1">
        <v>0.8</v>
      </c>
      <c r="D55" t="s">
        <v>14</v>
      </c>
      <c r="F55" t="s">
        <v>13</v>
      </c>
      <c r="H55" t="s">
        <v>13</v>
      </c>
      <c r="J55" t="s">
        <v>13</v>
      </c>
      <c r="L55" t="s">
        <v>13</v>
      </c>
      <c r="N55" t="s">
        <v>13</v>
      </c>
      <c r="P55" t="s">
        <v>13</v>
      </c>
      <c r="R55" t="s">
        <v>13</v>
      </c>
      <c r="T55" t="s">
        <v>13</v>
      </c>
      <c r="V55" t="s">
        <v>13</v>
      </c>
    </row>
    <row r="56" spans="1:23" x14ac:dyDescent="0.25">
      <c r="A56">
        <v>3.5</v>
      </c>
      <c r="B56" s="1">
        <v>0.7</v>
      </c>
      <c r="D56" t="s">
        <v>14</v>
      </c>
      <c r="F56" t="s">
        <v>13</v>
      </c>
      <c r="H56" t="s">
        <v>13</v>
      </c>
      <c r="J56" t="s">
        <v>13</v>
      </c>
      <c r="L56" t="s">
        <v>13</v>
      </c>
      <c r="N56" t="s">
        <v>13</v>
      </c>
      <c r="P56" t="s">
        <v>13</v>
      </c>
      <c r="R56" t="s">
        <v>13</v>
      </c>
      <c r="T56" t="s">
        <v>13</v>
      </c>
      <c r="V56" t="s">
        <v>13</v>
      </c>
    </row>
    <row r="57" spans="1:23" x14ac:dyDescent="0.25">
      <c r="A57">
        <v>2.5</v>
      </c>
      <c r="B57" s="1">
        <v>0.7</v>
      </c>
      <c r="D57" t="s">
        <v>14</v>
      </c>
      <c r="F57" t="s">
        <v>13</v>
      </c>
      <c r="H57" t="s">
        <v>13</v>
      </c>
      <c r="J57" t="s">
        <v>13</v>
      </c>
      <c r="L57" t="s">
        <v>13</v>
      </c>
      <c r="N57" t="s">
        <v>13</v>
      </c>
      <c r="P57" t="s">
        <v>13</v>
      </c>
      <c r="R57" t="s">
        <v>13</v>
      </c>
      <c r="T57" t="s">
        <v>13</v>
      </c>
      <c r="V57" t="s">
        <v>13</v>
      </c>
    </row>
    <row r="59" spans="1:23" x14ac:dyDescent="0.25">
      <c r="B59" s="4" t="s">
        <v>12</v>
      </c>
      <c r="C59" s="5"/>
      <c r="D59" s="5" t="s">
        <v>14</v>
      </c>
      <c r="E59" s="5"/>
      <c r="F59" s="5" t="s">
        <v>13</v>
      </c>
      <c r="G59" s="5"/>
      <c r="H59" s="5" t="s">
        <v>13</v>
      </c>
      <c r="I59" s="5"/>
      <c r="J59" s="5" t="s">
        <v>13</v>
      </c>
      <c r="K59" s="5"/>
      <c r="L59" s="5" t="s">
        <v>13</v>
      </c>
      <c r="M59" s="5"/>
      <c r="N59" s="5" t="s">
        <v>13</v>
      </c>
      <c r="O59" s="5"/>
      <c r="P59" s="5" t="s">
        <v>13</v>
      </c>
      <c r="Q59" s="5"/>
      <c r="R59" s="5" t="s">
        <v>13</v>
      </c>
      <c r="S59" s="5"/>
      <c r="T59" s="5" t="s">
        <v>13</v>
      </c>
      <c r="U59" s="5"/>
      <c r="V59" s="6" t="s">
        <v>13</v>
      </c>
    </row>
    <row r="60" spans="1:23" x14ac:dyDescent="0.25">
      <c r="B60" s="4" t="s">
        <v>15</v>
      </c>
      <c r="C60" s="5"/>
      <c r="D60" s="5">
        <v>2.5</v>
      </c>
      <c r="E60" s="5"/>
      <c r="F60" s="5">
        <v>3.5</v>
      </c>
      <c r="G60" s="5"/>
      <c r="H60" s="5">
        <v>3.5</v>
      </c>
      <c r="I60" s="5"/>
      <c r="J60" s="5">
        <v>3.5</v>
      </c>
      <c r="K60" s="5"/>
      <c r="L60" s="5">
        <v>3.5</v>
      </c>
      <c r="M60" s="5"/>
      <c r="N60" s="5">
        <v>3.5</v>
      </c>
      <c r="O60" s="5"/>
      <c r="P60" s="5">
        <v>3.5</v>
      </c>
      <c r="Q60" s="5"/>
      <c r="R60" s="5">
        <v>3.5</v>
      </c>
      <c r="S60" s="5"/>
      <c r="T60" s="5">
        <v>3.5</v>
      </c>
      <c r="U60" s="5"/>
      <c r="V60" s="6">
        <v>3.5</v>
      </c>
    </row>
    <row r="61" spans="1:23" x14ac:dyDescent="0.25">
      <c r="B61" s="4" t="s">
        <v>16</v>
      </c>
      <c r="C61" s="5"/>
      <c r="D61" s="5" t="s">
        <v>14</v>
      </c>
      <c r="E61" s="5"/>
      <c r="F61" s="5" t="s">
        <v>13</v>
      </c>
      <c r="G61" s="5"/>
      <c r="H61" s="5" t="s">
        <v>13</v>
      </c>
      <c r="I61" s="5"/>
      <c r="J61" s="5" t="s">
        <v>14</v>
      </c>
      <c r="K61" s="5"/>
      <c r="L61" s="5" t="s">
        <v>14</v>
      </c>
      <c r="M61" s="5"/>
      <c r="N61" s="5" t="s">
        <v>13</v>
      </c>
      <c r="O61" s="5"/>
      <c r="P61" s="5" t="s">
        <v>13</v>
      </c>
      <c r="Q61" s="5"/>
      <c r="R61" s="5" t="s">
        <v>13</v>
      </c>
      <c r="S61" s="5"/>
      <c r="T61" s="5" t="s">
        <v>14</v>
      </c>
      <c r="U61" s="5"/>
      <c r="V61" s="6" t="s">
        <v>13</v>
      </c>
    </row>
    <row r="62" spans="1:23" x14ac:dyDescent="0.25">
      <c r="B62" s="4" t="s">
        <v>17</v>
      </c>
      <c r="C62" s="5"/>
      <c r="D62" s="5">
        <v>-105</v>
      </c>
      <c r="E62" s="5"/>
      <c r="F62" s="5">
        <v>-225</v>
      </c>
      <c r="G62" s="5"/>
      <c r="H62" s="5">
        <v>-270</v>
      </c>
      <c r="I62" s="5"/>
      <c r="J62" s="5">
        <v>-180</v>
      </c>
      <c r="K62" s="5"/>
      <c r="L62" s="5">
        <v>-170</v>
      </c>
      <c r="M62" s="5"/>
      <c r="N62" s="5">
        <v>-255</v>
      </c>
      <c r="O62" s="5"/>
      <c r="P62" s="5">
        <v>-235</v>
      </c>
      <c r="Q62" s="5"/>
      <c r="R62" s="5">
        <v>-270</v>
      </c>
      <c r="S62" s="5"/>
      <c r="T62" s="5">
        <v>-475</v>
      </c>
      <c r="U62" s="5"/>
      <c r="V62" s="6">
        <v>-310</v>
      </c>
    </row>
    <row r="64" spans="1:23" x14ac:dyDescent="0.25">
      <c r="B64" s="4" t="s">
        <v>18</v>
      </c>
      <c r="C64" s="5"/>
      <c r="D64" s="5">
        <v>-1</v>
      </c>
      <c r="E64" s="5"/>
      <c r="F64" s="5">
        <v>-1</v>
      </c>
      <c r="G64" s="5"/>
      <c r="H64" s="5">
        <v>-1</v>
      </c>
      <c r="I64" s="5"/>
      <c r="J64" s="5">
        <v>-1</v>
      </c>
      <c r="K64" s="5"/>
      <c r="L64" s="5">
        <v>-1</v>
      </c>
      <c r="M64" s="5"/>
      <c r="N64" s="5">
        <v>-1</v>
      </c>
      <c r="O64" s="5"/>
      <c r="P64" s="5">
        <v>-1</v>
      </c>
      <c r="Q64" s="5"/>
      <c r="R64" s="5">
        <v>-1</v>
      </c>
      <c r="S64" s="5"/>
      <c r="T64" s="5">
        <v>-1</v>
      </c>
      <c r="U64" s="5"/>
      <c r="V64" s="6">
        <v>-1</v>
      </c>
      <c r="W64" s="8">
        <f>SUM(D64:V64)</f>
        <v>-10</v>
      </c>
    </row>
    <row r="65" spans="1:23" x14ac:dyDescent="0.25">
      <c r="B65" s="4" t="s">
        <v>19</v>
      </c>
      <c r="C65" s="5"/>
      <c r="D65" s="5">
        <f>IF(D62&gt;0,ROUND(ABS(D64)*(D62/100),2),ROUND(D64/(D62/100),2))</f>
        <v>0.95</v>
      </c>
      <c r="E65" s="5"/>
      <c r="F65" s="5">
        <f>IF(F62&gt;0,ROUND(ABS(F64)*(F62/100),2),ROUND(F64/(F62/100),2))</f>
        <v>0.44</v>
      </c>
      <c r="G65" s="5"/>
      <c r="H65" s="5">
        <f>IF(H62&gt;0,ROUND(ABS(H64)*(H62/100),2),ROUND(H64/(H62/100),2))</f>
        <v>0.37</v>
      </c>
      <c r="I65" s="5"/>
      <c r="J65" s="5">
        <f>IF(J62&gt;0,ROUND(ABS(J64)*(J62/100),2),ROUND(J64/(J62/100),2))</f>
        <v>0.56000000000000005</v>
      </c>
      <c r="K65" s="5"/>
      <c r="L65" s="5">
        <f>IF(L62&gt;0,ROUND(ABS(L64)*(L62/100),2),ROUND(L64/(L62/100),2))</f>
        <v>0.59</v>
      </c>
      <c r="M65" s="5"/>
      <c r="N65" s="5">
        <f>IF(N62&gt;0,ROUND(ABS(N64)*(N62/100),2),ROUND(N64/(N62/100),2))</f>
        <v>0.39</v>
      </c>
      <c r="O65" s="5"/>
      <c r="P65" s="5">
        <f>IF(P62&gt;0,ROUND(ABS(P64)*(P62/100),2),ROUND(P64/(P62/100),2))</f>
        <v>0.43</v>
      </c>
      <c r="Q65" s="5"/>
      <c r="R65" s="5">
        <f>IF(R62&gt;0,ROUND(ABS(R64)*(R62/100),2),ROUND(R64/(R62/100),2))</f>
        <v>0.37</v>
      </c>
      <c r="S65" s="5"/>
      <c r="T65" s="5">
        <f>IF(T62&gt;0,ROUND(ABS(T64)*(T62/100),2),ROUND(T64/(T62/100),2))</f>
        <v>0.21</v>
      </c>
      <c r="U65" s="5"/>
      <c r="V65" s="5">
        <f>IF(V62&gt;0,ROUND(ABS(V64)*(V62/100),2),ROUND(V64/(V62/100),2))</f>
        <v>0.32</v>
      </c>
      <c r="W65" s="8">
        <f>SUM(D65:V65)</f>
        <v>4.63</v>
      </c>
    </row>
    <row r="66" spans="1:23" ht="15.75" thickBot="1" x14ac:dyDescent="0.3">
      <c r="B66" s="4" t="s">
        <v>20</v>
      </c>
      <c r="C66" s="5"/>
      <c r="D66" s="5">
        <f>IF(D61=D59,-D64+D65,0)</f>
        <v>1.95</v>
      </c>
      <c r="E66" s="5"/>
      <c r="F66" s="5">
        <f>IF(F61=F59,-F64+F65,0)</f>
        <v>1.44</v>
      </c>
      <c r="G66" s="5"/>
      <c r="H66" s="5">
        <f>IF(H61=H59,-H64+H65,0)</f>
        <v>1.37</v>
      </c>
      <c r="I66" s="5"/>
      <c r="J66" s="5">
        <f>IF(J61=J59,-J64+J65,0)</f>
        <v>0</v>
      </c>
      <c r="K66" s="5"/>
      <c r="L66" s="5">
        <f>IF(L61=L59,-L64+L65,0)</f>
        <v>0</v>
      </c>
      <c r="M66" s="5"/>
      <c r="N66" s="5">
        <f>IF(N61=N59,-N64+N65,0)</f>
        <v>1.3900000000000001</v>
      </c>
      <c r="O66" s="5"/>
      <c r="P66" s="5">
        <f>IF(P61=P59,-P64+P65,0)</f>
        <v>1.43</v>
      </c>
      <c r="Q66" s="5"/>
      <c r="R66" s="5">
        <f>IF(R61=R59,-R64+R65,0)</f>
        <v>1.37</v>
      </c>
      <c r="S66" s="5"/>
      <c r="T66" s="5">
        <f>IF(T61=T59,-T64+T65,0)</f>
        <v>0</v>
      </c>
      <c r="U66" s="5"/>
      <c r="V66" s="6">
        <f>IF(V61=V59,-V64+V65,0)</f>
        <v>1.32</v>
      </c>
      <c r="W66" s="9">
        <f>SUM(D66:V66)</f>
        <v>10.27</v>
      </c>
    </row>
    <row r="67" spans="1:23" ht="16.5" thickTop="1" thickBot="1" x14ac:dyDescent="0.3">
      <c r="W67" s="7">
        <f>W64+W66</f>
        <v>0.26999999999999957</v>
      </c>
    </row>
    <row r="68" spans="1:23" ht="15.75" thickBot="1" x14ac:dyDescent="0.3">
      <c r="U68" s="13" t="s">
        <v>44</v>
      </c>
      <c r="V68" s="13"/>
      <c r="W68" s="11">
        <f>W51+W67</f>
        <v>1.0899999999999999</v>
      </c>
    </row>
    <row r="69" spans="1:23" ht="24" x14ac:dyDescent="0.4">
      <c r="D69" s="12" t="s">
        <v>57</v>
      </c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</row>
    <row r="70" spans="1:23" x14ac:dyDescent="0.25">
      <c r="D70" t="s">
        <v>58</v>
      </c>
      <c r="F70" t="s">
        <v>59</v>
      </c>
      <c r="H70" t="s">
        <v>60</v>
      </c>
      <c r="J70" t="s">
        <v>61</v>
      </c>
      <c r="L70" t="s">
        <v>62</v>
      </c>
      <c r="N70" t="s">
        <v>63</v>
      </c>
      <c r="P70" t="s">
        <v>64</v>
      </c>
      <c r="R70" t="s">
        <v>65</v>
      </c>
      <c r="T70" t="s">
        <v>66</v>
      </c>
      <c r="V70" t="s">
        <v>67</v>
      </c>
    </row>
    <row r="71" spans="1:23" x14ac:dyDescent="0.25">
      <c r="A71">
        <v>3.5</v>
      </c>
      <c r="B71" s="1">
        <v>0.8</v>
      </c>
      <c r="D71" t="s">
        <v>13</v>
      </c>
      <c r="F71" t="s">
        <v>13</v>
      </c>
      <c r="H71" t="s">
        <v>14</v>
      </c>
      <c r="J71" t="s">
        <v>13</v>
      </c>
      <c r="L71" t="s">
        <v>13</v>
      </c>
      <c r="N71" t="s">
        <v>13</v>
      </c>
      <c r="P71" t="s">
        <v>13</v>
      </c>
      <c r="R71" t="s">
        <v>13</v>
      </c>
      <c r="T71" t="s">
        <v>13</v>
      </c>
      <c r="V71" t="s">
        <v>13</v>
      </c>
    </row>
    <row r="72" spans="1:23" x14ac:dyDescent="0.25">
      <c r="A72">
        <v>2.5</v>
      </c>
      <c r="B72" s="1">
        <v>0.8</v>
      </c>
      <c r="D72" t="s">
        <v>13</v>
      </c>
      <c r="F72" t="s">
        <v>13</v>
      </c>
      <c r="H72" t="s">
        <v>14</v>
      </c>
      <c r="J72" t="s">
        <v>13</v>
      </c>
      <c r="L72" t="s">
        <v>13</v>
      </c>
      <c r="N72" t="s">
        <v>13</v>
      </c>
      <c r="P72" t="s">
        <v>13</v>
      </c>
      <c r="R72" t="s">
        <v>13</v>
      </c>
      <c r="T72" t="s">
        <v>13</v>
      </c>
      <c r="V72" t="s">
        <v>13</v>
      </c>
    </row>
    <row r="73" spans="1:23" x14ac:dyDescent="0.25">
      <c r="A73">
        <v>3.5</v>
      </c>
      <c r="B73" s="1">
        <v>0.7</v>
      </c>
      <c r="D73" t="s">
        <v>13</v>
      </c>
      <c r="F73" t="s">
        <v>13</v>
      </c>
      <c r="H73" t="s">
        <v>14</v>
      </c>
      <c r="J73" t="s">
        <v>13</v>
      </c>
      <c r="L73" t="s">
        <v>13</v>
      </c>
      <c r="N73" t="s">
        <v>13</v>
      </c>
      <c r="P73" t="s">
        <v>13</v>
      </c>
      <c r="R73" t="s">
        <v>13</v>
      </c>
      <c r="T73" t="s">
        <v>13</v>
      </c>
      <c r="V73" t="s">
        <v>13</v>
      </c>
    </row>
    <row r="74" spans="1:23" x14ac:dyDescent="0.25">
      <c r="A74">
        <v>2.5</v>
      </c>
      <c r="B74" s="1">
        <v>0.7</v>
      </c>
      <c r="D74" t="s">
        <v>13</v>
      </c>
      <c r="F74" t="s">
        <v>13</v>
      </c>
      <c r="H74" t="s">
        <v>14</v>
      </c>
      <c r="J74" t="s">
        <v>13</v>
      </c>
      <c r="L74" t="s">
        <v>13</v>
      </c>
      <c r="N74" t="s">
        <v>13</v>
      </c>
      <c r="P74" t="s">
        <v>13</v>
      </c>
      <c r="R74" t="s">
        <v>13</v>
      </c>
      <c r="T74" t="s">
        <v>13</v>
      </c>
      <c r="V74" t="s">
        <v>13</v>
      </c>
    </row>
    <row r="76" spans="1:23" x14ac:dyDescent="0.25">
      <c r="B76" s="4" t="s">
        <v>12</v>
      </c>
      <c r="C76" s="5"/>
      <c r="D76" s="5" t="s">
        <v>13</v>
      </c>
      <c r="E76" s="5"/>
      <c r="F76" s="5" t="s">
        <v>13</v>
      </c>
      <c r="G76" s="5"/>
      <c r="H76" s="5" t="s">
        <v>14</v>
      </c>
      <c r="I76" s="5"/>
      <c r="J76" s="5" t="s">
        <v>13</v>
      </c>
      <c r="K76" s="5"/>
      <c r="L76" s="5" t="s">
        <v>13</v>
      </c>
      <c r="M76" s="5"/>
      <c r="N76" s="5" t="s">
        <v>13</v>
      </c>
      <c r="O76" s="5"/>
      <c r="P76" s="5" t="s">
        <v>13</v>
      </c>
      <c r="Q76" s="5"/>
      <c r="R76" s="5" t="s">
        <v>13</v>
      </c>
      <c r="S76" s="5"/>
      <c r="T76" s="5" t="s">
        <v>13</v>
      </c>
      <c r="U76" s="5"/>
      <c r="V76" s="6" t="s">
        <v>13</v>
      </c>
    </row>
    <row r="77" spans="1:23" x14ac:dyDescent="0.25">
      <c r="B77" s="4" t="s">
        <v>15</v>
      </c>
      <c r="C77" s="5"/>
      <c r="D77" s="5">
        <v>3.5</v>
      </c>
      <c r="E77" s="5"/>
      <c r="F77" s="5">
        <v>3.5</v>
      </c>
      <c r="G77" s="5"/>
      <c r="H77" s="5">
        <v>2.5</v>
      </c>
      <c r="I77" s="5"/>
      <c r="J77" s="5">
        <v>3.5</v>
      </c>
      <c r="K77" s="5"/>
      <c r="L77" s="5">
        <v>3.5</v>
      </c>
      <c r="M77" s="5"/>
      <c r="N77" s="5">
        <v>3.5</v>
      </c>
      <c r="O77" s="5"/>
      <c r="P77" s="5">
        <v>3.5</v>
      </c>
      <c r="Q77" s="5"/>
      <c r="R77" s="5">
        <v>3.5</v>
      </c>
      <c r="S77" s="5"/>
      <c r="T77" s="5">
        <v>3.5</v>
      </c>
      <c r="U77" s="5"/>
      <c r="V77" s="6">
        <v>3.5</v>
      </c>
    </row>
    <row r="78" spans="1:23" x14ac:dyDescent="0.25">
      <c r="B78" s="4" t="s">
        <v>16</v>
      </c>
      <c r="C78" s="5"/>
      <c r="D78" s="5" t="s">
        <v>13</v>
      </c>
      <c r="E78" s="5"/>
      <c r="F78" s="5" t="s">
        <v>13</v>
      </c>
      <c r="G78" s="5"/>
      <c r="H78" s="5" t="s">
        <v>14</v>
      </c>
      <c r="I78" s="5"/>
      <c r="J78" s="5" t="s">
        <v>13</v>
      </c>
      <c r="K78" s="5"/>
      <c r="L78" s="5" t="s">
        <v>14</v>
      </c>
      <c r="M78" s="5"/>
      <c r="N78" s="5" t="s">
        <v>13</v>
      </c>
      <c r="O78" s="5"/>
      <c r="P78" s="5" t="s">
        <v>13</v>
      </c>
      <c r="Q78" s="5"/>
      <c r="R78" s="5" t="s">
        <v>14</v>
      </c>
      <c r="S78" s="5"/>
      <c r="T78" s="5" t="s">
        <v>14</v>
      </c>
      <c r="U78" s="5"/>
      <c r="V78" s="6" t="s">
        <v>13</v>
      </c>
    </row>
    <row r="79" spans="1:23" x14ac:dyDescent="0.25">
      <c r="B79" s="4" t="s">
        <v>17</v>
      </c>
      <c r="C79" s="5"/>
      <c r="D79" s="5">
        <v>-290</v>
      </c>
      <c r="E79" s="5"/>
      <c r="F79" s="5">
        <v>-275</v>
      </c>
      <c r="G79" s="5"/>
      <c r="H79" s="5">
        <v>-105</v>
      </c>
      <c r="I79" s="5"/>
      <c r="J79" s="5">
        <v>-280</v>
      </c>
      <c r="K79" s="5"/>
      <c r="L79" s="5">
        <v>-235</v>
      </c>
      <c r="M79" s="5"/>
      <c r="N79" s="5">
        <v>-265</v>
      </c>
      <c r="O79" s="5"/>
      <c r="P79" s="5">
        <v>-160</v>
      </c>
      <c r="Q79" s="5"/>
      <c r="R79" s="5">
        <v>-260</v>
      </c>
      <c r="S79" s="5"/>
      <c r="T79" s="5">
        <v>-175</v>
      </c>
      <c r="U79" s="5"/>
      <c r="V79" s="6">
        <v>-475</v>
      </c>
    </row>
    <row r="81" spans="1:23" x14ac:dyDescent="0.25">
      <c r="B81" s="4" t="s">
        <v>18</v>
      </c>
      <c r="C81" s="5"/>
      <c r="D81" s="5">
        <v>-1</v>
      </c>
      <c r="E81" s="5"/>
      <c r="F81" s="5">
        <v>-1</v>
      </c>
      <c r="G81" s="5"/>
      <c r="H81" s="5">
        <v>-1</v>
      </c>
      <c r="I81" s="5"/>
      <c r="J81" s="5">
        <v>-1</v>
      </c>
      <c r="K81" s="5"/>
      <c r="L81" s="5">
        <v>-1</v>
      </c>
      <c r="M81" s="5"/>
      <c r="N81" s="5">
        <v>-1</v>
      </c>
      <c r="O81" s="5"/>
      <c r="P81" s="5">
        <v>-1</v>
      </c>
      <c r="Q81" s="5"/>
      <c r="R81" s="5">
        <v>-1</v>
      </c>
      <c r="S81" s="5"/>
      <c r="T81" s="5">
        <v>-1</v>
      </c>
      <c r="U81" s="5"/>
      <c r="V81" s="6">
        <v>-1</v>
      </c>
      <c r="W81" s="8">
        <f>SUM(D81:V81)</f>
        <v>-10</v>
      </c>
    </row>
    <row r="82" spans="1:23" x14ac:dyDescent="0.25">
      <c r="B82" s="4" t="s">
        <v>19</v>
      </c>
      <c r="C82" s="5"/>
      <c r="D82" s="5">
        <f>IF(D79&gt;0,ROUND(ABS(D81)*(D79/100),2),ROUND(D81/(D79/100),2))</f>
        <v>0.34</v>
      </c>
      <c r="E82" s="5"/>
      <c r="F82" s="5">
        <f>IF(F79&gt;0,ROUND(ABS(F81)*(F79/100),2),ROUND(F81/(F79/100),2))</f>
        <v>0.36</v>
      </c>
      <c r="G82" s="5"/>
      <c r="H82" s="5">
        <f>IF(H79&gt;0,ROUND(ABS(H81)*(H79/100),2),ROUND(H81/(H79/100),2))</f>
        <v>0.95</v>
      </c>
      <c r="I82" s="5"/>
      <c r="J82" s="5">
        <f>IF(J79&gt;0,ROUND(ABS(J81)*(J79/100),2),ROUND(J81/(J79/100),2))</f>
        <v>0.36</v>
      </c>
      <c r="K82" s="5"/>
      <c r="L82" s="5">
        <f>IF(L79&gt;0,ROUND(ABS(L81)*(L79/100),2),ROUND(L81/(L79/100),2))</f>
        <v>0.43</v>
      </c>
      <c r="M82" s="5"/>
      <c r="N82" s="5">
        <f>IF(N79&gt;0,ROUND(ABS(N81)*(N79/100),2),ROUND(N81/(N79/100),2))</f>
        <v>0.38</v>
      </c>
      <c r="O82" s="5"/>
      <c r="P82" s="5">
        <f>IF(P79&gt;0,ROUND(ABS(P81)*(P79/100),2),ROUND(P81/(P79/100),2))</f>
        <v>0.63</v>
      </c>
      <c r="Q82" s="5"/>
      <c r="R82" s="5">
        <f>IF(R79&gt;0,ROUND(ABS(R81)*(R79/100),2),ROUND(R81/(R79/100),2))</f>
        <v>0.38</v>
      </c>
      <c r="S82" s="5"/>
      <c r="T82" s="5">
        <f>IF(T79&gt;0,ROUND(ABS(T81)*(T79/100),2),ROUND(T81/(T79/100),2))</f>
        <v>0.56999999999999995</v>
      </c>
      <c r="U82" s="5"/>
      <c r="V82" s="5">
        <f>IF(V79&gt;0,ROUND(ABS(V81)*(V79/100),2),ROUND(V81/(V79/100),2))</f>
        <v>0.21</v>
      </c>
      <c r="W82" s="8">
        <f>SUM(D82:V82)</f>
        <v>4.6099999999999994</v>
      </c>
    </row>
    <row r="83" spans="1:23" ht="15.75" thickBot="1" x14ac:dyDescent="0.3">
      <c r="B83" s="4" t="s">
        <v>20</v>
      </c>
      <c r="C83" s="5"/>
      <c r="D83" s="5">
        <f>IF(D78=D76,-D81+D82,0)</f>
        <v>1.34</v>
      </c>
      <c r="E83" s="5"/>
      <c r="F83" s="5">
        <f>IF(F78=F76,-F81+F82,0)</f>
        <v>1.3599999999999999</v>
      </c>
      <c r="G83" s="5"/>
      <c r="H83" s="5">
        <f>IF(H78=H76,-H81+H82,0)</f>
        <v>1.95</v>
      </c>
      <c r="I83" s="5"/>
      <c r="J83" s="5">
        <f>IF(J78=J76,-J81+J82,0)</f>
        <v>1.3599999999999999</v>
      </c>
      <c r="K83" s="5"/>
      <c r="L83" s="5">
        <f>IF(L78=L76,-L81+L82,0)</f>
        <v>0</v>
      </c>
      <c r="M83" s="5"/>
      <c r="N83" s="5">
        <f>IF(N78=N76,-N81+N82,0)</f>
        <v>1.38</v>
      </c>
      <c r="O83" s="5"/>
      <c r="P83" s="5">
        <f>IF(P78=P76,-P81+P82,0)</f>
        <v>1.63</v>
      </c>
      <c r="Q83" s="5"/>
      <c r="R83" s="5">
        <f>IF(R78=R76,-R81+R82,0)</f>
        <v>0</v>
      </c>
      <c r="S83" s="5"/>
      <c r="T83" s="5">
        <f>IF(T78=T76,-T81+T82,0)</f>
        <v>0</v>
      </c>
      <c r="U83" s="5"/>
      <c r="V83" s="6">
        <f>IF(V78=V76,-V81+V82,0)</f>
        <v>1.21</v>
      </c>
      <c r="W83" s="9">
        <f>SUM(D83:V83)</f>
        <v>10.23</v>
      </c>
    </row>
    <row r="84" spans="1:23" ht="16.5" thickTop="1" thickBot="1" x14ac:dyDescent="0.3">
      <c r="W84" s="7">
        <f>W81+W83</f>
        <v>0.23000000000000043</v>
      </c>
    </row>
    <row r="85" spans="1:23" ht="15.75" thickBot="1" x14ac:dyDescent="0.3">
      <c r="U85" s="13" t="s">
        <v>44</v>
      </c>
      <c r="V85" s="13"/>
      <c r="W85" s="11">
        <f>W68+W84</f>
        <v>1.3200000000000003</v>
      </c>
    </row>
    <row r="86" spans="1:23" ht="24" x14ac:dyDescent="0.4">
      <c r="D86" s="12" t="s">
        <v>68</v>
      </c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</row>
    <row r="87" spans="1:23" x14ac:dyDescent="0.25">
      <c r="D87" t="s">
        <v>58</v>
      </c>
      <c r="F87" t="s">
        <v>59</v>
      </c>
      <c r="H87" t="s">
        <v>60</v>
      </c>
      <c r="J87" t="s">
        <v>61</v>
      </c>
      <c r="L87" t="s">
        <v>62</v>
      </c>
      <c r="N87" t="s">
        <v>63</v>
      </c>
      <c r="P87" t="s">
        <v>64</v>
      </c>
      <c r="R87" t="s">
        <v>65</v>
      </c>
      <c r="T87" t="s">
        <v>66</v>
      </c>
      <c r="V87" t="s">
        <v>67</v>
      </c>
    </row>
    <row r="88" spans="1:23" x14ac:dyDescent="0.25">
      <c r="A88">
        <v>3.5</v>
      </c>
      <c r="B88" s="1">
        <v>0.8</v>
      </c>
      <c r="D88" t="s">
        <v>13</v>
      </c>
      <c r="F88" t="s">
        <v>13</v>
      </c>
      <c r="H88" t="s">
        <v>14</v>
      </c>
      <c r="J88" t="s">
        <v>13</v>
      </c>
      <c r="L88" t="s">
        <v>13</v>
      </c>
      <c r="N88" t="s">
        <v>13</v>
      </c>
      <c r="P88" t="s">
        <v>13</v>
      </c>
      <c r="R88" t="s">
        <v>13</v>
      </c>
      <c r="T88" t="s">
        <v>13</v>
      </c>
      <c r="V88" t="s">
        <v>13</v>
      </c>
    </row>
    <row r="89" spans="1:23" x14ac:dyDescent="0.25">
      <c r="A89">
        <v>2.5</v>
      </c>
      <c r="B89" s="1">
        <v>0.8</v>
      </c>
      <c r="D89" t="s">
        <v>13</v>
      </c>
      <c r="F89" t="s">
        <v>13</v>
      </c>
      <c r="H89" t="s">
        <v>14</v>
      </c>
      <c r="J89" t="s">
        <v>13</v>
      </c>
      <c r="L89" t="s">
        <v>13</v>
      </c>
      <c r="N89" t="s">
        <v>13</v>
      </c>
      <c r="P89" t="s">
        <v>13</v>
      </c>
      <c r="R89" t="s">
        <v>13</v>
      </c>
      <c r="T89" t="s">
        <v>13</v>
      </c>
      <c r="V89" t="s">
        <v>13</v>
      </c>
    </row>
    <row r="90" spans="1:23" x14ac:dyDescent="0.25">
      <c r="A90">
        <v>3.5</v>
      </c>
      <c r="B90" s="1">
        <v>0.7</v>
      </c>
      <c r="D90" t="s">
        <v>13</v>
      </c>
      <c r="F90" t="s">
        <v>13</v>
      </c>
      <c r="H90" t="s">
        <v>14</v>
      </c>
      <c r="J90" t="s">
        <v>13</v>
      </c>
      <c r="L90" t="s">
        <v>13</v>
      </c>
      <c r="N90" t="s">
        <v>13</v>
      </c>
      <c r="P90" t="s">
        <v>13</v>
      </c>
      <c r="R90" t="s">
        <v>13</v>
      </c>
      <c r="T90" t="s">
        <v>13</v>
      </c>
      <c r="V90" t="s">
        <v>13</v>
      </c>
    </row>
    <row r="91" spans="1:23" x14ac:dyDescent="0.25">
      <c r="A91">
        <v>2.5</v>
      </c>
      <c r="B91" s="1">
        <v>0.7</v>
      </c>
      <c r="D91" t="s">
        <v>13</v>
      </c>
      <c r="F91" t="s">
        <v>13</v>
      </c>
      <c r="H91" t="s">
        <v>14</v>
      </c>
      <c r="J91" t="s">
        <v>13</v>
      </c>
      <c r="L91" t="s">
        <v>13</v>
      </c>
      <c r="N91" t="s">
        <v>13</v>
      </c>
      <c r="P91" t="s">
        <v>13</v>
      </c>
      <c r="R91" t="s">
        <v>13</v>
      </c>
      <c r="T91" t="s">
        <v>13</v>
      </c>
      <c r="V91" t="s">
        <v>13</v>
      </c>
    </row>
    <row r="93" spans="1:23" x14ac:dyDescent="0.25">
      <c r="B93" s="4" t="s">
        <v>12</v>
      </c>
      <c r="C93" s="5"/>
      <c r="D93" s="5" t="s">
        <v>13</v>
      </c>
      <c r="E93" s="5"/>
      <c r="F93" s="5" t="s">
        <v>13</v>
      </c>
      <c r="G93" s="5"/>
      <c r="H93" s="5" t="s">
        <v>14</v>
      </c>
      <c r="I93" s="5"/>
      <c r="J93" s="5" t="s">
        <v>13</v>
      </c>
      <c r="K93" s="5"/>
      <c r="L93" s="5" t="s">
        <v>13</v>
      </c>
      <c r="M93" s="5"/>
      <c r="N93" s="5" t="s">
        <v>13</v>
      </c>
      <c r="O93" s="5"/>
      <c r="P93" s="5" t="s">
        <v>13</v>
      </c>
      <c r="Q93" s="5"/>
      <c r="R93" s="5" t="s">
        <v>13</v>
      </c>
      <c r="S93" s="5"/>
      <c r="T93" s="5" t="s">
        <v>13</v>
      </c>
      <c r="U93" s="5"/>
      <c r="V93" s="6" t="s">
        <v>13</v>
      </c>
    </row>
    <row r="94" spans="1:23" x14ac:dyDescent="0.25">
      <c r="B94" s="4" t="s">
        <v>15</v>
      </c>
      <c r="C94" s="5"/>
      <c r="D94" s="5">
        <v>3.5</v>
      </c>
      <c r="E94" s="5"/>
      <c r="F94" s="5">
        <v>3.5</v>
      </c>
      <c r="G94" s="5"/>
      <c r="H94" s="5">
        <v>2.5</v>
      </c>
      <c r="I94" s="5"/>
      <c r="J94" s="5">
        <v>3.5</v>
      </c>
      <c r="K94" s="5"/>
      <c r="L94" s="5">
        <v>3.5</v>
      </c>
      <c r="M94" s="5"/>
      <c r="N94" s="5">
        <v>3.5</v>
      </c>
      <c r="O94" s="5"/>
      <c r="P94" s="5">
        <v>3.5</v>
      </c>
      <c r="Q94" s="5"/>
      <c r="R94" s="5">
        <v>3.5</v>
      </c>
      <c r="S94" s="5"/>
      <c r="T94" s="5">
        <v>3.5</v>
      </c>
      <c r="U94" s="5"/>
      <c r="V94" s="6">
        <v>3.5</v>
      </c>
    </row>
    <row r="95" spans="1:23" x14ac:dyDescent="0.25">
      <c r="B95" s="4" t="s">
        <v>16</v>
      </c>
      <c r="C95" s="5"/>
      <c r="D95" s="5" t="s">
        <v>13</v>
      </c>
      <c r="E95" s="5"/>
      <c r="F95" s="5" t="s">
        <v>13</v>
      </c>
      <c r="G95" s="5"/>
      <c r="H95" s="5" t="s">
        <v>14</v>
      </c>
      <c r="I95" s="5"/>
      <c r="J95" s="5" t="s">
        <v>13</v>
      </c>
      <c r="K95" s="5"/>
      <c r="L95" s="5" t="s">
        <v>14</v>
      </c>
      <c r="M95" s="5"/>
      <c r="N95" s="5" t="s">
        <v>13</v>
      </c>
      <c r="O95" s="5"/>
      <c r="P95" s="5" t="s">
        <v>13</v>
      </c>
      <c r="Q95" s="5"/>
      <c r="R95" s="5" t="s">
        <v>14</v>
      </c>
      <c r="S95" s="5"/>
      <c r="T95" s="5" t="s">
        <v>14</v>
      </c>
      <c r="U95" s="5"/>
      <c r="V95" s="6" t="s">
        <v>13</v>
      </c>
    </row>
    <row r="96" spans="1:23" x14ac:dyDescent="0.25">
      <c r="B96" s="4" t="s">
        <v>17</v>
      </c>
      <c r="C96" s="5"/>
      <c r="D96" s="5">
        <v>-290</v>
      </c>
      <c r="E96" s="5"/>
      <c r="F96" s="5">
        <v>-275</v>
      </c>
      <c r="G96" s="5"/>
      <c r="H96" s="5">
        <v>-105</v>
      </c>
      <c r="I96" s="5"/>
      <c r="J96" s="5">
        <v>-280</v>
      </c>
      <c r="K96" s="5"/>
      <c r="L96" s="5">
        <v>-235</v>
      </c>
      <c r="M96" s="5"/>
      <c r="N96" s="5">
        <v>-265</v>
      </c>
      <c r="O96" s="5"/>
      <c r="P96" s="5">
        <v>-160</v>
      </c>
      <c r="Q96" s="5"/>
      <c r="R96" s="5">
        <v>-260</v>
      </c>
      <c r="S96" s="5"/>
      <c r="T96" s="5">
        <v>-175</v>
      </c>
      <c r="U96" s="5"/>
      <c r="V96" s="6">
        <v>-475</v>
      </c>
    </row>
    <row r="98" spans="2:23" x14ac:dyDescent="0.25">
      <c r="B98" s="4" t="s">
        <v>18</v>
      </c>
      <c r="C98" s="5"/>
      <c r="D98" s="5">
        <v>-1</v>
      </c>
      <c r="E98" s="5"/>
      <c r="F98" s="5">
        <v>-1</v>
      </c>
      <c r="G98" s="5"/>
      <c r="H98" s="5">
        <v>-1</v>
      </c>
      <c r="I98" s="5"/>
      <c r="J98" s="5">
        <v>-1</v>
      </c>
      <c r="K98" s="5"/>
      <c r="L98" s="5">
        <v>-1</v>
      </c>
      <c r="M98" s="5"/>
      <c r="N98" s="5">
        <v>-1</v>
      </c>
      <c r="O98" s="5"/>
      <c r="P98" s="5">
        <v>-1</v>
      </c>
      <c r="Q98" s="5"/>
      <c r="R98" s="5">
        <v>-1</v>
      </c>
      <c r="S98" s="5"/>
      <c r="T98" s="5">
        <v>-1</v>
      </c>
      <c r="U98" s="5"/>
      <c r="V98" s="6">
        <v>-1</v>
      </c>
      <c r="W98" s="8">
        <f>SUM(D98:V98)</f>
        <v>-10</v>
      </c>
    </row>
    <row r="99" spans="2:23" x14ac:dyDescent="0.25">
      <c r="B99" s="4" t="s">
        <v>19</v>
      </c>
      <c r="C99" s="5"/>
      <c r="D99" s="5">
        <f>IF(D96&gt;0,ROUND(ABS(D98)*(D96/100),2),ROUND(D98/(D96/100),2))</f>
        <v>0.34</v>
      </c>
      <c r="E99" s="5"/>
      <c r="F99" s="5">
        <f>IF(F96&gt;0,ROUND(ABS(F98)*(F96/100),2),ROUND(F98/(F96/100),2))</f>
        <v>0.36</v>
      </c>
      <c r="G99" s="5"/>
      <c r="H99" s="5">
        <f>IF(H96&gt;0,ROUND(ABS(H98)*(H96/100),2),ROUND(H98/(H96/100),2))</f>
        <v>0.95</v>
      </c>
      <c r="I99" s="5"/>
      <c r="J99" s="5">
        <f>IF(J96&gt;0,ROUND(ABS(J98)*(J96/100),2),ROUND(J98/(J96/100),2))</f>
        <v>0.36</v>
      </c>
      <c r="K99" s="5"/>
      <c r="L99" s="5">
        <f>IF(L96&gt;0,ROUND(ABS(L98)*(L96/100),2),ROUND(L98/(L96/100),2))</f>
        <v>0.43</v>
      </c>
      <c r="M99" s="5"/>
      <c r="N99" s="5">
        <f>IF(N96&gt;0,ROUND(ABS(N98)*(N96/100),2),ROUND(N98/(N96/100),2))</f>
        <v>0.38</v>
      </c>
      <c r="O99" s="5"/>
      <c r="P99" s="5">
        <f>IF(P96&gt;0,ROUND(ABS(P98)*(P96/100),2),ROUND(P98/(P96/100),2))</f>
        <v>0.63</v>
      </c>
      <c r="Q99" s="5"/>
      <c r="R99" s="5">
        <f>IF(R96&gt;0,ROUND(ABS(R98)*(R96/100),2),ROUND(R98/(R96/100),2))</f>
        <v>0.38</v>
      </c>
      <c r="S99" s="5"/>
      <c r="T99" s="5">
        <f>IF(T96&gt;0,ROUND(ABS(T98)*(T96/100),2),ROUND(T98/(T96/100),2))</f>
        <v>0.56999999999999995</v>
      </c>
      <c r="U99" s="5"/>
      <c r="V99" s="5">
        <f>IF(V96&gt;0,ROUND(ABS(V98)*(V96/100),2),ROUND(V98/(V96/100),2))</f>
        <v>0.21</v>
      </c>
      <c r="W99" s="8">
        <f>SUM(D99:V99)</f>
        <v>4.6099999999999994</v>
      </c>
    </row>
    <row r="100" spans="2:23" ht="15.75" thickBot="1" x14ac:dyDescent="0.3">
      <c r="B100" s="4" t="s">
        <v>20</v>
      </c>
      <c r="C100" s="5"/>
      <c r="D100" s="5">
        <f>IF(D95=D93,-D98+D99,0)</f>
        <v>1.34</v>
      </c>
      <c r="E100" s="5"/>
      <c r="F100" s="5">
        <f>IF(F95=F93,-F98+F99,0)</f>
        <v>1.3599999999999999</v>
      </c>
      <c r="G100" s="5"/>
      <c r="H100" s="5">
        <f>IF(H95=H93,-H98+H99,0)</f>
        <v>1.95</v>
      </c>
      <c r="I100" s="5"/>
      <c r="J100" s="5">
        <f>IF(J95=J93,-J98+J99,0)</f>
        <v>1.3599999999999999</v>
      </c>
      <c r="K100" s="5"/>
      <c r="L100" s="5">
        <f>IF(L95=L93,-L98+L99,0)</f>
        <v>0</v>
      </c>
      <c r="M100" s="5"/>
      <c r="N100" s="5">
        <f>IF(N95=N93,-N98+N99,0)</f>
        <v>1.38</v>
      </c>
      <c r="O100" s="5"/>
      <c r="P100" s="5">
        <f>IF(P95=P93,-P98+P99,0)</f>
        <v>1.63</v>
      </c>
      <c r="Q100" s="5"/>
      <c r="R100" s="5">
        <f>IF(R95=R93,-R98+R99,0)</f>
        <v>0</v>
      </c>
      <c r="S100" s="5"/>
      <c r="T100" s="5">
        <f>IF(T95=T93,-T98+T99,0)</f>
        <v>0</v>
      </c>
      <c r="U100" s="5"/>
      <c r="V100" s="6">
        <f>IF(V95=V93,-V98+V99,0)</f>
        <v>1.21</v>
      </c>
      <c r="W100" s="9">
        <f>SUM(D100:V100)</f>
        <v>10.23</v>
      </c>
    </row>
    <row r="101" spans="2:23" ht="16.5" thickTop="1" thickBot="1" x14ac:dyDescent="0.3">
      <c r="W101" s="7">
        <f>W98+W100</f>
        <v>0.23000000000000043</v>
      </c>
    </row>
    <row r="102" spans="2:23" ht="15.75" thickBot="1" x14ac:dyDescent="0.3">
      <c r="U102" s="13" t="s">
        <v>44</v>
      </c>
      <c r="V102" s="13"/>
      <c r="W102" s="11">
        <f>W85+W101</f>
        <v>1.5500000000000007</v>
      </c>
    </row>
  </sheetData>
  <mergeCells count="12">
    <mergeCell ref="D86:V86"/>
    <mergeCell ref="U102:V102"/>
    <mergeCell ref="D69:V69"/>
    <mergeCell ref="U85:V85"/>
    <mergeCell ref="D52:V52"/>
    <mergeCell ref="U68:V68"/>
    <mergeCell ref="U51:V51"/>
    <mergeCell ref="D1:V1"/>
    <mergeCell ref="D18:V18"/>
    <mergeCell ref="D35:V35"/>
    <mergeCell ref="U17:V17"/>
    <mergeCell ref="U34:V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Predictions 2(Records)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Clarke</dc:creator>
  <cp:lastModifiedBy>Matt Clarke</cp:lastModifiedBy>
  <dcterms:created xsi:type="dcterms:W3CDTF">2025-10-04T23:54:36Z</dcterms:created>
  <dcterms:modified xsi:type="dcterms:W3CDTF">2025-11-07T03:29:04Z</dcterms:modified>
</cp:coreProperties>
</file>